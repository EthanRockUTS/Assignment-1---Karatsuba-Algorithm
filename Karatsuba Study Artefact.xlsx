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ocuments\GitHub\Advanced Algorithms Quizzes\Karatsuba Algorithm\Assignment 1 - Karatsuba Algorithm\"/>
    </mc:Choice>
  </mc:AlternateContent>
  <xr:revisionPtr revIDLastSave="0" documentId="13_ncr:1_{7E9680C7-513A-4405-9B84-E2FE7E4146CA}" xr6:coauthVersionLast="47" xr6:coauthVersionMax="47" xr10:uidLastSave="{00000000-0000-0000-0000-000000000000}"/>
  <bookViews>
    <workbookView xWindow="-110" yWindow="-110" windowWidth="38620" windowHeight="21100" xr2:uid="{7828B224-0E64-4385-9842-18CE50B3FB73}"/>
  </bookViews>
  <sheets>
    <sheet name="Charts" sheetId="1" r:id="rId1"/>
    <sheet name="karatsube_range_100-5000" sheetId="3" r:id="rId2"/>
    <sheet name="karatsuba_exponential" sheetId="4" r:id="rId3"/>
    <sheet name="cutofftesting" sheetId="5" r:id="rId4"/>
    <sheet name="kar_lowdigits" sheetId="6" r:id="rId5"/>
    <sheet name="kar190" sheetId="10" r:id="rId6"/>
    <sheet name="Sheet2" sheetId="9" r:id="rId7"/>
  </sheets>
  <definedNames>
    <definedName name="ExternalData_1" localSheetId="3" hidden="1">'cutofftesting'!$A$1:$N$22</definedName>
    <definedName name="ExternalData_1" localSheetId="4" hidden="1">kar_lowdigits!$A$1:$M$101</definedName>
    <definedName name="ExternalData_1" localSheetId="5" hidden="1">'kar190'!$A$1:$G$2</definedName>
    <definedName name="ExternalData_1" localSheetId="2" hidden="1">karatsuba_exponential!$A$1:$M$6</definedName>
    <definedName name="ExternalData_1" localSheetId="1" hidden="1">'karatsube_range_100-5000'!$A$1:$M$51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5" l="1"/>
  <c r="H13" i="5"/>
  <c r="H14" i="5"/>
  <c r="H15" i="5"/>
  <c r="H16" i="5"/>
  <c r="H17" i="5"/>
  <c r="H18" i="5"/>
  <c r="H19" i="5"/>
  <c r="H20" i="5"/>
  <c r="H21" i="5"/>
  <c r="I12" i="5"/>
  <c r="I13" i="5"/>
  <c r="I14" i="5"/>
  <c r="I15" i="5"/>
  <c r="I16" i="5"/>
  <c r="I17" i="5"/>
  <c r="I18" i="5"/>
  <c r="I19" i="5"/>
  <c r="I20" i="5"/>
  <c r="I21" i="5"/>
  <c r="J12" i="5"/>
  <c r="J13" i="5"/>
  <c r="J14" i="5"/>
  <c r="J15" i="5"/>
  <c r="J16" i="5"/>
  <c r="J17" i="5"/>
  <c r="J18" i="5"/>
  <c r="J19" i="5"/>
  <c r="J20" i="5"/>
  <c r="J21" i="5"/>
  <c r="K12" i="5"/>
  <c r="K13" i="5"/>
  <c r="K14" i="5"/>
  <c r="K15" i="5"/>
  <c r="K16" i="5"/>
  <c r="K17" i="5"/>
  <c r="K18" i="5"/>
  <c r="K19" i="5"/>
  <c r="K20" i="5"/>
  <c r="K21" i="5"/>
  <c r="L12" i="5"/>
  <c r="L13" i="5"/>
  <c r="L14" i="5"/>
  <c r="L15" i="5"/>
  <c r="L16" i="5"/>
  <c r="L17" i="5"/>
  <c r="L18" i="5"/>
  <c r="L19" i="5"/>
  <c r="L20" i="5"/>
  <c r="L21" i="5"/>
  <c r="M12" i="5"/>
  <c r="M13" i="5"/>
  <c r="M14" i="5"/>
  <c r="M15" i="5"/>
  <c r="M16" i="5"/>
  <c r="M17" i="5"/>
  <c r="M18" i="5"/>
  <c r="M19" i="5"/>
  <c r="M20" i="5"/>
  <c r="M21" i="5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M2" i="5"/>
  <c r="M3" i="5"/>
  <c r="M4" i="5"/>
  <c r="M5" i="5"/>
  <c r="M6" i="5"/>
  <c r="M7" i="5"/>
  <c r="M8" i="5"/>
  <c r="M9" i="5"/>
  <c r="M10" i="5"/>
  <c r="M11" i="5"/>
  <c r="L2" i="5"/>
  <c r="L3" i="5"/>
  <c r="L4" i="5"/>
  <c r="L5" i="5"/>
  <c r="L6" i="5"/>
  <c r="L7" i="5"/>
  <c r="L8" i="5"/>
  <c r="L9" i="5"/>
  <c r="L10" i="5"/>
  <c r="L11" i="5"/>
  <c r="L2" i="4"/>
  <c r="L3" i="4"/>
  <c r="L4" i="4"/>
  <c r="L5" i="4"/>
  <c r="L6" i="4"/>
  <c r="K2" i="4"/>
  <c r="K3" i="4"/>
  <c r="K4" i="4"/>
  <c r="K5" i="4"/>
  <c r="K6" i="4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K2" i="5"/>
  <c r="K3" i="5"/>
  <c r="K4" i="5"/>
  <c r="K5" i="5"/>
  <c r="K6" i="5"/>
  <c r="K7" i="5"/>
  <c r="K8" i="5"/>
  <c r="K9" i="5"/>
  <c r="K10" i="5"/>
  <c r="K11" i="5"/>
  <c r="J2" i="5"/>
  <c r="J3" i="5"/>
  <c r="J4" i="5"/>
  <c r="J5" i="5"/>
  <c r="J6" i="5"/>
  <c r="J7" i="5"/>
  <c r="J8" i="5"/>
  <c r="J9" i="5"/>
  <c r="J10" i="5"/>
  <c r="J11" i="5"/>
  <c r="I2" i="5"/>
  <c r="I3" i="5"/>
  <c r="I4" i="5"/>
  <c r="I5" i="5"/>
  <c r="I6" i="5"/>
  <c r="I7" i="5"/>
  <c r="I8" i="5"/>
  <c r="I9" i="5"/>
  <c r="I10" i="5"/>
  <c r="I11" i="5"/>
  <c r="H2" i="5"/>
  <c r="H3" i="5"/>
  <c r="H4" i="5"/>
  <c r="H5" i="5"/>
  <c r="H6" i="5"/>
  <c r="H7" i="5"/>
  <c r="H8" i="5"/>
  <c r="H9" i="5"/>
  <c r="H10" i="5"/>
  <c r="H11" i="5"/>
  <c r="J2" i="4"/>
  <c r="J3" i="4"/>
  <c r="J4" i="4"/>
  <c r="J5" i="4"/>
  <c r="J6" i="4"/>
  <c r="I2" i="4"/>
  <c r="I3" i="4"/>
  <c r="I4" i="4"/>
  <c r="I5" i="4"/>
  <c r="I6" i="4"/>
  <c r="H2" i="4"/>
  <c r="H3" i="4"/>
  <c r="H4" i="4"/>
  <c r="H5" i="4"/>
  <c r="H6" i="4"/>
  <c r="H2" i="3"/>
  <c r="G2" i="4"/>
  <c r="G3" i="4"/>
  <c r="G4" i="4"/>
  <c r="G5" i="4"/>
  <c r="G6" i="4"/>
  <c r="G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I2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BAB4D9-29C2-4BB1-893D-C8ACB8E51A81}" keepAlive="1" name="Query - cutofftesting" description="Connection to the 'cutofftesting' query in the workbook." type="5" refreshedVersion="8" background="1" saveData="1">
    <dbPr connection="Provider=Microsoft.Mashup.OleDb.1;Data Source=$Workbook$;Location=cutofftesting;Extended Properties=&quot;&quot;" command="SELECT * FROM [cutofftesting]"/>
  </connection>
  <connection id="2" xr16:uid="{2B8C2552-1081-4E26-8C52-EE8A879AF6B8}" keepAlive="1" name="Query - cutofftesting (2)" description="Connection to the 'cutofftesting (2)' query in the workbook." type="5" refreshedVersion="0" background="1">
    <dbPr connection="Provider=Microsoft.Mashup.OleDb.1;Data Source=$Workbook$;Location=&quot;cutofftesting (2)&quot;;Extended Properties=&quot;&quot;" command="SELECT * FROM [cutofftesting (2)]"/>
  </connection>
  <connection id="3" xr16:uid="{ED45A722-C00C-4974-8E77-D50A0DBAE557}" keepAlive="1" name="Query - kar_lowdigits" description="Connection to the 'kar_lowdigits' query in the workbook." type="5" refreshedVersion="8" background="1" saveData="1">
    <dbPr connection="Provider=Microsoft.Mashup.OleDb.1;Data Source=$Workbook$;Location=kar_lowdigits;Extended Properties=&quot;&quot;" command="SELECT * FROM [kar_lowdigits]"/>
  </connection>
  <connection id="4" xr16:uid="{9019A4AD-84AA-4AE0-8444-AE4CF0753978}" keepAlive="1" name="Query - kar190" description="Connection to the 'kar190' query in the workbook." type="5" refreshedVersion="8" background="1" saveData="1">
    <dbPr connection="Provider=Microsoft.Mashup.OleDb.1;Data Source=$Workbook$;Location=kar190;Extended Properties=&quot;&quot;" command="SELECT * FROM [kar190]"/>
  </connection>
  <connection id="5" xr16:uid="{99737EA7-CE35-44C1-9E50-EEDBFDACD477}" keepAlive="1" name="Query - karatsuba_exponential" description="Connection to the 'karatsuba_exponential' query in the workbook." type="5" refreshedVersion="8" background="1" saveData="1">
    <dbPr connection="Provider=Microsoft.Mashup.OleDb.1;Data Source=$Workbook$;Location=karatsuba_exponential;Extended Properties=&quot;&quot;" command="SELECT * FROM [karatsuba_exponential]"/>
  </connection>
  <connection id="6" xr16:uid="{BC7385C8-52D3-4B42-B80D-E4F9D6F44690}" keepAlive="1" name="Query - karatsube_range_100-5000" description="Connection to the 'karatsube_range_100-5000' query in the workbook." type="5" refreshedVersion="8" background="1" saveData="1">
    <dbPr connection="Provider=Microsoft.Mashup.OleDb.1;Data Source=$Workbook$;Location=karatsube_range_100-5000;Extended Properties=&quot;&quot;" command="SELECT * FROM [karatsube_range_100-5000]"/>
  </connection>
  <connection id="7" xr16:uid="{4D4F29FE-0916-4044-9739-A55F40B2967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8" xr16:uid="{FEFB524E-1D0A-4825-BF79-A508BFEB1F83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9" xr16:uid="{C95ACC18-6192-4D50-9C47-69CBE8BF2AF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0" xr16:uid="{6E0A0C5A-AB70-495A-91C0-283DBC55B0C3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1" xr16:uid="{05F679D0-30B2-4ED4-B983-B9A8903FDC6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2" xr16:uid="{9FEA6D46-C21F-48EB-8334-49A657C1E9F6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3" xr16:uid="{F8EEDD2F-1DFF-42D3-B553-5355FF7E82E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4" xr16:uid="{DB1EF313-8BDA-4CC6-9CD0-6E0F24024952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<sst xmlns="http://schemas.openxmlformats.org/spreadsheetml/2006/main" count="327" uniqueCount="40">
  <si>
    <t>Digits</t>
  </si>
  <si>
    <t>Hybrid_Cutoff</t>
  </si>
  <si>
    <t>Native_ns</t>
  </si>
  <si>
    <t>Schoolbook_ns</t>
  </si>
  <si>
    <t>Pure_Karatsuba_ns</t>
  </si>
  <si>
    <t>Hybrid_Karatsuba_ns</t>
  </si>
  <si>
    <t>Check</t>
  </si>
  <si>
    <t/>
  </si>
  <si>
    <t>OK</t>
  </si>
  <si>
    <t>Source.Name</t>
  </si>
  <si>
    <t>kar_cutoff10.csv</t>
  </si>
  <si>
    <t>kar_cutoff100.csv</t>
  </si>
  <si>
    <t>kar_cutoff20.csv</t>
  </si>
  <si>
    <t>kar_cutoff30.csv</t>
  </si>
  <si>
    <t>kar_cutoff40.csv</t>
  </si>
  <si>
    <t>kar_cutoff50.csv</t>
  </si>
  <si>
    <t>kar_cutoff60.csv</t>
  </si>
  <si>
    <t>kar_cutoff70.csv</t>
  </si>
  <si>
    <t>kar_cutoff80.csv</t>
  </si>
  <si>
    <t>kar_cutoff90.csv</t>
  </si>
  <si>
    <t>Pure Ratio</t>
  </si>
  <si>
    <t>Hybrid Ratio</t>
  </si>
  <si>
    <t>Native Speed2</t>
  </si>
  <si>
    <t>Schoolbook Speed3</t>
  </si>
  <si>
    <t>Karatsuba Speed4</t>
  </si>
  <si>
    <t>Hybrid Speed5</t>
  </si>
  <si>
    <t>Native</t>
  </si>
  <si>
    <t>Schoolbook</t>
  </si>
  <si>
    <t>Karatsuba</t>
  </si>
  <si>
    <t>Hybrid</t>
  </si>
  <si>
    <t>kar110.csv</t>
  </si>
  <si>
    <t>kar120.csv</t>
  </si>
  <si>
    <t>kar130.csv</t>
  </si>
  <si>
    <t>kar140.csv</t>
  </si>
  <si>
    <t>kar150.csv</t>
  </si>
  <si>
    <t>kar160.csv</t>
  </si>
  <si>
    <t>kar170.csv</t>
  </si>
  <si>
    <t>kar180.csv</t>
  </si>
  <si>
    <t>kar190.csv</t>
  </si>
  <si>
    <t>kar200.csv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</si>
</sst>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High Digit</a:t>
            </a:r>
            <a:r>
              <a:rPr lang="en-AU" baseline="0"/>
              <a:t> Range Test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'karatsube_range_100-5000'!$H$1</c:f>
              <c:strCache>
                <c:ptCount val="1"/>
                <c:pt idx="0">
                  <c:v>Schoolbook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'karatsube_range_100-5000'!$A$2:$A$51</c:f>
              <c:numCache>
                <c:formatCode>General</c:formatCode>
                <c:ptCount val="5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</c:numCache>
            </c:numRef>
          </c:cat>
          <c:val>
            <c:numRef>
              <c:f>'karatsube_range_100-5000'!$H$2:$H$51</c:f>
              <c:numCache>
                <c:formatCode>General</c:formatCode>
                <c:ptCount val="50"/>
                <c:pt idx="0">
                  <c:v>5.7998192999999996E-2</c:v>
                </c:pt>
                <c:pt idx="1">
                  <c:v>0.22564648400000001</c:v>
                </c:pt>
                <c:pt idx="2">
                  <c:v>0.50292343800000006</c:v>
                </c:pt>
                <c:pt idx="3">
                  <c:v>0.87741250000000004</c:v>
                </c:pt>
                <c:pt idx="4">
                  <c:v>1.3917937499999999</c:v>
                </c:pt>
                <c:pt idx="5">
                  <c:v>1.9617171880000002</c:v>
                </c:pt>
                <c:pt idx="6">
                  <c:v>2.6690734380000003</c:v>
                </c:pt>
                <c:pt idx="7">
                  <c:v>3.4759031249999999</c:v>
                </c:pt>
                <c:pt idx="8">
                  <c:v>4.445846875</c:v>
                </c:pt>
                <c:pt idx="9">
                  <c:v>5.4424687499999997</c:v>
                </c:pt>
                <c:pt idx="10">
                  <c:v>6.6143937499999996</c:v>
                </c:pt>
                <c:pt idx="11">
                  <c:v>7.8869312499999999</c:v>
                </c:pt>
                <c:pt idx="12">
                  <c:v>9.2720437499999999</c:v>
                </c:pt>
                <c:pt idx="13">
                  <c:v>10.71565</c:v>
                </c:pt>
                <c:pt idx="14">
                  <c:v>12.20793125</c:v>
                </c:pt>
                <c:pt idx="15">
                  <c:v>13.939837499999999</c:v>
                </c:pt>
                <c:pt idx="16">
                  <c:v>15.7867625</c:v>
                </c:pt>
                <c:pt idx="17">
                  <c:v>17.608625</c:v>
                </c:pt>
                <c:pt idx="18">
                  <c:v>19.635212500000002</c:v>
                </c:pt>
                <c:pt idx="19">
                  <c:v>21.580887499999999</c:v>
                </c:pt>
                <c:pt idx="20">
                  <c:v>23.772175000000001</c:v>
                </c:pt>
                <c:pt idx="21">
                  <c:v>26.081299999999999</c:v>
                </c:pt>
                <c:pt idx="22">
                  <c:v>28.726974999999999</c:v>
                </c:pt>
                <c:pt idx="23">
                  <c:v>31.0943</c:v>
                </c:pt>
                <c:pt idx="24">
                  <c:v>33.716099999999997</c:v>
                </c:pt>
                <c:pt idx="25">
                  <c:v>36.458449999999999</c:v>
                </c:pt>
                <c:pt idx="26">
                  <c:v>39.350124999999998</c:v>
                </c:pt>
                <c:pt idx="27">
                  <c:v>42.846649999999997</c:v>
                </c:pt>
                <c:pt idx="28">
                  <c:v>45.8553</c:v>
                </c:pt>
                <c:pt idx="29">
                  <c:v>49.186399999999999</c:v>
                </c:pt>
                <c:pt idx="30">
                  <c:v>52.284849999999999</c:v>
                </c:pt>
                <c:pt idx="31">
                  <c:v>55.177399999999999</c:v>
                </c:pt>
                <c:pt idx="32">
                  <c:v>59.221299999999999</c:v>
                </c:pt>
                <c:pt idx="33">
                  <c:v>63.182600000000001</c:v>
                </c:pt>
                <c:pt idx="34">
                  <c:v>68.329449999999994</c:v>
                </c:pt>
                <c:pt idx="35">
                  <c:v>75.565600000000003</c:v>
                </c:pt>
                <c:pt idx="36">
                  <c:v>77.019350000000003</c:v>
                </c:pt>
                <c:pt idx="37">
                  <c:v>81.215850000000003</c:v>
                </c:pt>
                <c:pt idx="38">
                  <c:v>86.589150000000004</c:v>
                </c:pt>
                <c:pt idx="39">
                  <c:v>90.430049999999994</c:v>
                </c:pt>
                <c:pt idx="40">
                  <c:v>92.477649999999997</c:v>
                </c:pt>
                <c:pt idx="41">
                  <c:v>96.967550000000003</c:v>
                </c:pt>
                <c:pt idx="42">
                  <c:v>100.4688</c:v>
                </c:pt>
                <c:pt idx="43">
                  <c:v>105.444</c:v>
                </c:pt>
                <c:pt idx="44">
                  <c:v>110.0333</c:v>
                </c:pt>
                <c:pt idx="45">
                  <c:v>115.4614</c:v>
                </c:pt>
                <c:pt idx="46">
                  <c:v>120.15949999999999</c:v>
                </c:pt>
                <c:pt idx="47">
                  <c:v>124.6386</c:v>
                </c:pt>
                <c:pt idx="48">
                  <c:v>130.19589999999999</c:v>
                </c:pt>
                <c:pt idx="49">
                  <c:v>135.70760000000001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8-46E3-89B9-E4EFE8B5C4CA}"/>
            </c:ext>
          </c:extLst>
        </c:ser>
        <c:ser>
          <c:idx val="1"/>
          <c:order val="1"/>
          <c:tx>
            <c:strRef>
              <c:f>'karatsube_range_100-5000'!$I$1</c:f>
              <c:strCache>
                <c:ptCount val="1"/>
                <c:pt idx="0">
                  <c:v>Karatsuba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'karatsube_range_100-5000'!$A$2:$A$51</c:f>
              <c:numCache>
                <c:formatCode>General</c:formatCode>
                <c:ptCount val="5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</c:numCache>
            </c:numRef>
          </c:cat>
          <c:val>
            <c:numRef>
              <c:f>'karatsube_range_100-5000'!$I$2:$I$51</c:f>
              <c:numCache>
                <c:formatCode>General</c:formatCode>
                <c:ptCount val="50"/>
                <c:pt idx="0">
                  <c:v>2.5721953119999998</c:v>
                </c:pt>
                <c:pt idx="1">
                  <c:v>7.7237125000000004</c:v>
                </c:pt>
                <c:pt idx="2">
                  <c:v>15.5245625</c:v>
                </c:pt>
                <c:pt idx="3">
                  <c:v>22.8870875</c:v>
                </c:pt>
                <c:pt idx="4">
                  <c:v>31.340025000000001</c:v>
                </c:pt>
                <c:pt idx="5">
                  <c:v>46.807675000000003</c:v>
                </c:pt>
                <c:pt idx="6">
                  <c:v>57.106999999999999</c:v>
                </c:pt>
                <c:pt idx="7">
                  <c:v>69.657349999999994</c:v>
                </c:pt>
                <c:pt idx="8">
                  <c:v>81.273700000000005</c:v>
                </c:pt>
                <c:pt idx="9">
                  <c:v>94.96875</c:v>
                </c:pt>
                <c:pt idx="10">
                  <c:v>121.3481</c:v>
                </c:pt>
                <c:pt idx="11">
                  <c:v>142.10589999999999</c:v>
                </c:pt>
                <c:pt idx="12">
                  <c:v>161.09139999999999</c:v>
                </c:pt>
                <c:pt idx="13">
                  <c:v>171.6103</c:v>
                </c:pt>
                <c:pt idx="14">
                  <c:v>186.69630000000001</c:v>
                </c:pt>
                <c:pt idx="15">
                  <c:v>208.14689999999999</c:v>
                </c:pt>
                <c:pt idx="16">
                  <c:v>227.31899999999999</c:v>
                </c:pt>
                <c:pt idx="17">
                  <c:v>244.71629999999999</c:v>
                </c:pt>
                <c:pt idx="18">
                  <c:v>263.55579999999998</c:v>
                </c:pt>
                <c:pt idx="19">
                  <c:v>284.38510000000002</c:v>
                </c:pt>
                <c:pt idx="20">
                  <c:v>322.72489999999999</c:v>
                </c:pt>
                <c:pt idx="21">
                  <c:v>359.84059999999999</c:v>
                </c:pt>
                <c:pt idx="22">
                  <c:v>389.48829999999998</c:v>
                </c:pt>
                <c:pt idx="23">
                  <c:v>418.8938</c:v>
                </c:pt>
                <c:pt idx="24">
                  <c:v>443.33839999999998</c:v>
                </c:pt>
                <c:pt idx="25">
                  <c:v>468.53250000000003</c:v>
                </c:pt>
                <c:pt idx="26">
                  <c:v>493.8904</c:v>
                </c:pt>
                <c:pt idx="27">
                  <c:v>516.35490000000004</c:v>
                </c:pt>
                <c:pt idx="28">
                  <c:v>536.54489999999998</c:v>
                </c:pt>
                <c:pt idx="29">
                  <c:v>559.42179999999996</c:v>
                </c:pt>
                <c:pt idx="30">
                  <c:v>593.74069999999995</c:v>
                </c:pt>
                <c:pt idx="31">
                  <c:v>626.53970000000004</c:v>
                </c:pt>
                <c:pt idx="32">
                  <c:v>676.57569999999998</c:v>
                </c:pt>
                <c:pt idx="33">
                  <c:v>700.32590000000005</c:v>
                </c:pt>
                <c:pt idx="34">
                  <c:v>729.16369999999995</c:v>
                </c:pt>
                <c:pt idx="35">
                  <c:v>743.03390000000002</c:v>
                </c:pt>
                <c:pt idx="36">
                  <c:v>769.61009999999999</c:v>
                </c:pt>
                <c:pt idx="37">
                  <c:v>800.20460000000003</c:v>
                </c:pt>
                <c:pt idx="38">
                  <c:v>874.42100000000005</c:v>
                </c:pt>
                <c:pt idx="39">
                  <c:v>887.88070000000005</c:v>
                </c:pt>
                <c:pt idx="40">
                  <c:v>897.94719999999995</c:v>
                </c:pt>
                <c:pt idx="41">
                  <c:v>1045.8112000000001</c:v>
                </c:pt>
                <c:pt idx="42">
                  <c:v>1035.6364000000001</c:v>
                </c:pt>
                <c:pt idx="43">
                  <c:v>1089.9007999999999</c:v>
                </c:pt>
                <c:pt idx="44">
                  <c:v>1134.4629</c:v>
                </c:pt>
                <c:pt idx="45">
                  <c:v>1158.2752</c:v>
                </c:pt>
                <c:pt idx="46">
                  <c:v>1260.2348</c:v>
                </c:pt>
                <c:pt idx="47">
                  <c:v>1268.5552</c:v>
                </c:pt>
                <c:pt idx="48">
                  <c:v>1294.9659999999999</c:v>
                </c:pt>
                <c:pt idx="49">
                  <c:v>1334.1268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68-46E3-89B9-E4EFE8B5C4CA}"/>
            </c:ext>
          </c:extLst>
        </c:ser>
        <c:ser>
          <c:idx val="2"/>
          <c:order val="2"/>
          <c:tx>
            <c:strRef>
              <c:f>'karatsube_range_100-5000'!$J$1</c:f>
              <c:strCache>
                <c:ptCount val="1"/>
                <c:pt idx="0">
                  <c:v>Hybrid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'karatsube_range_100-5000'!$A$2:$A$51</c:f>
              <c:numCache>
                <c:formatCode>General</c:formatCode>
                <c:ptCount val="5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</c:numCache>
            </c:numRef>
          </c:cat>
          <c:val>
            <c:numRef>
              <c:f>'karatsube_range_100-5000'!$J$2:$J$51</c:f>
              <c:numCache>
                <c:formatCode>General</c:formatCode>
                <c:ptCount val="50"/>
                <c:pt idx="0">
                  <c:v>8.4240039000000003E-2</c:v>
                </c:pt>
                <c:pt idx="1">
                  <c:v>0.28371113299999995</c:v>
                </c:pt>
                <c:pt idx="2">
                  <c:v>0.68019335900000011</c:v>
                </c:pt>
                <c:pt idx="3">
                  <c:v>0.922214062</c:v>
                </c:pt>
                <c:pt idx="4">
                  <c:v>1.180896094</c:v>
                </c:pt>
                <c:pt idx="5">
                  <c:v>2.1194203119999999</c:v>
                </c:pt>
                <c:pt idx="6">
                  <c:v>2.4097437500000001</c:v>
                </c:pt>
                <c:pt idx="7">
                  <c:v>2.8245171880000002</c:v>
                </c:pt>
                <c:pt idx="8">
                  <c:v>3.1922062499999999</c:v>
                </c:pt>
                <c:pt idx="9">
                  <c:v>3.6634406249999998</c:v>
                </c:pt>
                <c:pt idx="10">
                  <c:v>5.811484375</c:v>
                </c:pt>
                <c:pt idx="11">
                  <c:v>6.4118312499999996</c:v>
                </c:pt>
                <c:pt idx="12">
                  <c:v>6.9373250000000004</c:v>
                </c:pt>
                <c:pt idx="13">
                  <c:v>7.4656750000000001</c:v>
                </c:pt>
                <c:pt idx="14">
                  <c:v>8.0006562500000005</c:v>
                </c:pt>
                <c:pt idx="15">
                  <c:v>8.6692312499999993</c:v>
                </c:pt>
                <c:pt idx="16">
                  <c:v>9.1642499999999991</c:v>
                </c:pt>
                <c:pt idx="17">
                  <c:v>9.8819625000000002</c:v>
                </c:pt>
                <c:pt idx="18">
                  <c:v>10.50015</c:v>
                </c:pt>
                <c:pt idx="19">
                  <c:v>11.280143750000001</c:v>
                </c:pt>
                <c:pt idx="20">
                  <c:v>16.544537500000001</c:v>
                </c:pt>
                <c:pt idx="21">
                  <c:v>17.747450000000001</c:v>
                </c:pt>
                <c:pt idx="22">
                  <c:v>18.704225000000001</c:v>
                </c:pt>
                <c:pt idx="23">
                  <c:v>19.314374999999998</c:v>
                </c:pt>
                <c:pt idx="24">
                  <c:v>20.122125</c:v>
                </c:pt>
                <c:pt idx="25">
                  <c:v>20.809125000000002</c:v>
                </c:pt>
                <c:pt idx="26">
                  <c:v>22.0483875</c:v>
                </c:pt>
                <c:pt idx="27">
                  <c:v>22.779362500000001</c:v>
                </c:pt>
                <c:pt idx="28">
                  <c:v>23.367725</c:v>
                </c:pt>
                <c:pt idx="29">
                  <c:v>24.331162500000001</c:v>
                </c:pt>
                <c:pt idx="30">
                  <c:v>25.306825</c:v>
                </c:pt>
                <c:pt idx="31">
                  <c:v>26.39565</c:v>
                </c:pt>
                <c:pt idx="32">
                  <c:v>27.837199999999999</c:v>
                </c:pt>
                <c:pt idx="33">
                  <c:v>28.117999999999999</c:v>
                </c:pt>
                <c:pt idx="34">
                  <c:v>29.114674999999998</c:v>
                </c:pt>
                <c:pt idx="35">
                  <c:v>32.631900000000002</c:v>
                </c:pt>
                <c:pt idx="36">
                  <c:v>31.146850000000001</c:v>
                </c:pt>
                <c:pt idx="37">
                  <c:v>33.649825</c:v>
                </c:pt>
                <c:pt idx="38">
                  <c:v>35.632575000000003</c:v>
                </c:pt>
                <c:pt idx="39">
                  <c:v>34.048250000000003</c:v>
                </c:pt>
                <c:pt idx="40">
                  <c:v>41.82105</c:v>
                </c:pt>
                <c:pt idx="41">
                  <c:v>51.540799999999997</c:v>
                </c:pt>
                <c:pt idx="42">
                  <c:v>52.928699999999999</c:v>
                </c:pt>
                <c:pt idx="43">
                  <c:v>53.370899999999999</c:v>
                </c:pt>
                <c:pt idx="44">
                  <c:v>55.365250000000003</c:v>
                </c:pt>
                <c:pt idx="45">
                  <c:v>56.454700000000003</c:v>
                </c:pt>
                <c:pt idx="46">
                  <c:v>57.380650000000003</c:v>
                </c:pt>
                <c:pt idx="47">
                  <c:v>58.128700000000002</c:v>
                </c:pt>
                <c:pt idx="48">
                  <c:v>59.601849999999999</c:v>
                </c:pt>
                <c:pt idx="49">
                  <c:v>61.045450000000002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68-46E3-89B9-E4EFE8B5C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760448"/>
        <c:axId val="711836688"/>
      </c:lineChart>
      <c:catAx>
        <c:axId val="7207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36688"/>
        <c:crosses val="autoZero"/>
        <c:auto val="1"/>
        <c:lblAlgn val="ctr"/>
        <c:lblOffset val="100"/>
        <c:noMultiLvlLbl val="0"/>
      </c:catAx>
      <c:valAx>
        <c:axId val="71183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Average</a:t>
                </a:r>
                <a:r>
                  <a:rPr lang="en-AU" baseline="0"/>
                  <a:t> Speed (ms)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6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Exponential Limit</a:t>
            </a:r>
            <a:r>
              <a:rPr lang="en-AU" baseline="0"/>
              <a:t> Test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karatsuba_exponential!$H$1</c:f>
              <c:strCache>
                <c:ptCount val="1"/>
                <c:pt idx="0">
                  <c:v>Schoolbook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karatsuba_exponential!$A$2:$A$6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karatsuba_exponential!$H$2:$H$6</c:f>
              <c:numCache>
                <c:formatCode>General</c:formatCode>
                <c:ptCount val="5"/>
                <c:pt idx="0">
                  <c:v>1.350902E-3</c:v>
                </c:pt>
                <c:pt idx="1">
                  <c:v>5.8537743999999996E-2</c:v>
                </c:pt>
                <c:pt idx="2">
                  <c:v>5.4543999999999997</c:v>
                </c:pt>
                <c:pt idx="3">
                  <c:v>546.5951</c:v>
                </c:pt>
                <c:pt idx="4">
                  <c:v>54822.473400000003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BB-45B8-BF40-7E9117BEE0B0}"/>
            </c:ext>
          </c:extLst>
        </c:ser>
        <c:ser>
          <c:idx val="2"/>
          <c:order val="2"/>
          <c:tx>
            <c:strRef>
              <c:f>karatsuba_exponential!$I$1</c:f>
              <c:strCache>
                <c:ptCount val="1"/>
                <c:pt idx="0">
                  <c:v>Karatsuba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karatsuba_exponential!$A$2:$A$6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karatsuba_exponential!$I$2:$I$6</c:f>
              <c:numCache>
                <c:formatCode>General</c:formatCode>
                <c:ptCount val="5"/>
                <c:pt idx="0">
                  <c:v>6.4081836000000003E-2</c:v>
                </c:pt>
                <c:pt idx="1">
                  <c:v>2.6231218749999998</c:v>
                </c:pt>
                <c:pt idx="2">
                  <c:v>96.111500000000007</c:v>
                </c:pt>
                <c:pt idx="3">
                  <c:v>4102.9350999999997</c:v>
                </c:pt>
                <c:pt idx="4">
                  <c:v>149496.27160000001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BB-45B8-BF40-7E9117BEE0B0}"/>
            </c:ext>
          </c:extLst>
        </c:ser>
        <c:ser>
          <c:idx val="3"/>
          <c:order val="3"/>
          <c:tx>
            <c:strRef>
              <c:f>karatsuba_exponential!$J$1</c:f>
              <c:strCache>
                <c:ptCount val="1"/>
                <c:pt idx="0">
                  <c:v>Hybrid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karatsuba_exponential!$A$2:$A$6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karatsuba_exponential!$J$2:$J$6</c:f>
              <c:numCache>
                <c:formatCode>General</c:formatCode>
                <c:ptCount val="5"/>
                <c:pt idx="0">
                  <c:v>1.4375550000000001E-3</c:v>
                </c:pt>
                <c:pt idx="1">
                  <c:v>8.4677295E-2</c:v>
                </c:pt>
                <c:pt idx="2">
                  <c:v>3.6659937500000002</c:v>
                </c:pt>
                <c:pt idx="3">
                  <c:v>184.5008</c:v>
                </c:pt>
                <c:pt idx="4">
                  <c:v>6368.8476000000001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BB-45B8-BF40-7E9117BEE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800816"/>
        <c:axId val="711819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karatsuba_exponential!$A$1</c15:sqref>
                        </c15:formulaRef>
                      </c:ext>
                    </c:extLst>
                    <c:strCache>
                      <c:ptCount val="1"/>
                      <c:pt idx="0">
                        <c:v>Digits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karatsuba_exponential!$A$2:$A$6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karatsuba_exponential!$A$2:$A$6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DBB-45B8-BF40-7E9117BEE0B0}"/>
                  </c:ext>
                </c:extLst>
              </c15:ser>
            </c15:filteredLineSeries>
          </c:ext>
        </c:extLst>
      </c:lineChart>
      <c:catAx>
        <c:axId val="720800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19408"/>
        <c:crosses val="autoZero"/>
        <c:auto val="1"/>
        <c:lblAlgn val="ctr"/>
        <c:lblOffset val="100"/>
        <c:noMultiLvlLbl val="0"/>
      </c:catAx>
      <c:valAx>
        <c:axId val="7118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Speed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80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Hybrid</a:t>
            </a:r>
            <a:r>
              <a:rPr lang="en-AU" baseline="0"/>
              <a:t> Threshold Test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'cutofftesting'!$I$1</c:f>
              <c:strCache>
                <c:ptCount val="1"/>
                <c:pt idx="0">
                  <c:v>Schoolbook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'cutofftesting'!$C$2:$C$22</c:f>
              <c:numCache>
                <c:formatCode>General</c:formatCode>
                <c:ptCount val="2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cat>
          <c:val>
            <c:numRef>
              <c:f>'cutofftesting'!$I$2:$I$22</c:f>
              <c:numCache>
                <c:formatCode>General</c:formatCode>
                <c:ptCount val="21"/>
                <c:pt idx="0">
                  <c:v>5.4169843750000002</c:v>
                </c:pt>
                <c:pt idx="1">
                  <c:v>5.5202968749999997</c:v>
                </c:pt>
                <c:pt idx="2">
                  <c:v>5.41320625</c:v>
                </c:pt>
                <c:pt idx="3">
                  <c:v>5.4156656249999999</c:v>
                </c:pt>
                <c:pt idx="4">
                  <c:v>5.4417125000000004</c:v>
                </c:pt>
                <c:pt idx="5">
                  <c:v>5.4785531250000004</c:v>
                </c:pt>
                <c:pt idx="6">
                  <c:v>5.4120187499999997</c:v>
                </c:pt>
                <c:pt idx="7">
                  <c:v>5.4718999999999998</c:v>
                </c:pt>
                <c:pt idx="8">
                  <c:v>5.465353125</c:v>
                </c:pt>
                <c:pt idx="9">
                  <c:v>5.466825</c:v>
                </c:pt>
                <c:pt idx="10">
                  <c:v>5.8186656250000004</c:v>
                </c:pt>
                <c:pt idx="11">
                  <c:v>5.4630656249999996</c:v>
                </c:pt>
                <c:pt idx="12">
                  <c:v>5.4702437499999998</c:v>
                </c:pt>
                <c:pt idx="13">
                  <c:v>5.9128218749999997</c:v>
                </c:pt>
                <c:pt idx="14">
                  <c:v>5.7412875000000003</c:v>
                </c:pt>
                <c:pt idx="15">
                  <c:v>5.5235312499999996</c:v>
                </c:pt>
                <c:pt idx="16">
                  <c:v>5.5870718750000004</c:v>
                </c:pt>
                <c:pt idx="17">
                  <c:v>5.4350343749999999</c:v>
                </c:pt>
                <c:pt idx="18">
                  <c:v>5.5160625000000003</c:v>
                </c:pt>
                <c:pt idx="19">
                  <c:v>5.4697062499999998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1-4BEB-964A-D6018F718A8A}"/>
            </c:ext>
          </c:extLst>
        </c:ser>
        <c:ser>
          <c:idx val="1"/>
          <c:order val="1"/>
          <c:tx>
            <c:strRef>
              <c:f>'cutofftesting'!$K$1</c:f>
              <c:strCache>
                <c:ptCount val="1"/>
                <c:pt idx="0">
                  <c:v>Hybrid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'cutofftesting'!$C$2:$C$22</c:f>
              <c:numCache>
                <c:formatCode>General</c:formatCode>
                <c:ptCount val="2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cat>
          <c:val>
            <c:numRef>
              <c:f>'cutofftesting'!$K$2:$K$22</c:f>
              <c:numCache>
                <c:formatCode>General</c:formatCode>
                <c:ptCount val="21"/>
                <c:pt idx="0">
                  <c:v>8.5411874999999995</c:v>
                </c:pt>
                <c:pt idx="1">
                  <c:v>5.1269468749999998</c:v>
                </c:pt>
                <c:pt idx="2">
                  <c:v>5.0675125000000003</c:v>
                </c:pt>
                <c:pt idx="3">
                  <c:v>3.6048125</c:v>
                </c:pt>
                <c:pt idx="4">
                  <c:v>3.6234968749999998</c:v>
                </c:pt>
                <c:pt idx="5">
                  <c:v>3.6603124999999999</c:v>
                </c:pt>
                <c:pt idx="6">
                  <c:v>2.9936750000000001</c:v>
                </c:pt>
                <c:pt idx="7">
                  <c:v>3.4034593750000002</c:v>
                </c:pt>
                <c:pt idx="8">
                  <c:v>3.0238765619999999</c:v>
                </c:pt>
                <c:pt idx="9">
                  <c:v>2.9901843750000001</c:v>
                </c:pt>
                <c:pt idx="10">
                  <c:v>3.009846875</c:v>
                </c:pt>
                <c:pt idx="11">
                  <c:v>3.1295812500000002</c:v>
                </c:pt>
                <c:pt idx="12">
                  <c:v>3.1123093750000002</c:v>
                </c:pt>
                <c:pt idx="13">
                  <c:v>3.0117031249999999</c:v>
                </c:pt>
                <c:pt idx="14">
                  <c:v>3.0141781249999999</c:v>
                </c:pt>
                <c:pt idx="15">
                  <c:v>3.2979781250000002</c:v>
                </c:pt>
                <c:pt idx="16">
                  <c:v>3.0139859380000003</c:v>
                </c:pt>
                <c:pt idx="17">
                  <c:v>3.0820781249999998</c:v>
                </c:pt>
                <c:pt idx="18">
                  <c:v>3.03306875</c:v>
                </c:pt>
                <c:pt idx="19">
                  <c:v>3.0910515620000001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41-4BEB-964A-D6018F718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6554960"/>
        <c:axId val="711841968"/>
      </c:lineChart>
      <c:catAx>
        <c:axId val="127655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Threshold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1968"/>
        <c:crosses val="autoZero"/>
        <c:auto val="1"/>
        <c:lblAlgn val="ctr"/>
        <c:lblOffset val="100"/>
        <c:noMultiLvlLbl val="0"/>
      </c:catAx>
      <c:valAx>
        <c:axId val="71184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Speed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55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Low Digit Range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kar_lowdigits!$D$1</c:f>
              <c:strCache>
                <c:ptCount val="1"/>
                <c:pt idx="0">
                  <c:v>Schoolbook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kar_lowdigits!$A$2:$A$21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kar_lowdigits!$D$2:$D$21</c:f>
              <c:numCache>
                <c:formatCode>General</c:formatCode>
                <c:ptCount val="20"/>
                <c:pt idx="0">
                  <c:v>249.244</c:v>
                </c:pt>
                <c:pt idx="1">
                  <c:v>359.89600000000002</c:v>
                </c:pt>
                <c:pt idx="2">
                  <c:v>472.61599999999999</c:v>
                </c:pt>
                <c:pt idx="3">
                  <c:v>542.19799999999998</c:v>
                </c:pt>
                <c:pt idx="4">
                  <c:v>685.04300000000001</c:v>
                </c:pt>
                <c:pt idx="5">
                  <c:v>765.50400000000002</c:v>
                </c:pt>
                <c:pt idx="6">
                  <c:v>856.197</c:v>
                </c:pt>
                <c:pt idx="7">
                  <c:v>1009.2430000000001</c:v>
                </c:pt>
                <c:pt idx="8">
                  <c:v>1254.1389999999999</c:v>
                </c:pt>
                <c:pt idx="9">
                  <c:v>1419.9559999999999</c:v>
                </c:pt>
                <c:pt idx="10">
                  <c:v>1550.528</c:v>
                </c:pt>
                <c:pt idx="11">
                  <c:v>1723.5050000000001</c:v>
                </c:pt>
                <c:pt idx="12">
                  <c:v>1876.491</c:v>
                </c:pt>
                <c:pt idx="13">
                  <c:v>2053.3980000000001</c:v>
                </c:pt>
                <c:pt idx="14">
                  <c:v>2281.8440000000001</c:v>
                </c:pt>
                <c:pt idx="15">
                  <c:v>2437.91</c:v>
                </c:pt>
                <c:pt idx="16">
                  <c:v>2731.9229999999998</c:v>
                </c:pt>
                <c:pt idx="17">
                  <c:v>2967.6849999999999</c:v>
                </c:pt>
                <c:pt idx="18">
                  <c:v>3269.1010000000001</c:v>
                </c:pt>
                <c:pt idx="19">
                  <c:v>3492.712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A-490B-9579-26C0C7F277D1}"/>
            </c:ext>
          </c:extLst>
        </c:ser>
        <c:ser>
          <c:idx val="1"/>
          <c:order val="1"/>
          <c:tx>
            <c:strRef>
              <c:f>kar_lowdigits!$E$1</c:f>
              <c:strCache>
                <c:ptCount val="1"/>
                <c:pt idx="0">
                  <c:v>Karatsuba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kar_lowdigits!$A$2:$A$21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kar_lowdigits!$E$2:$E$21</c:f>
              <c:numCache>
                <c:formatCode>General</c:formatCode>
                <c:ptCount val="20"/>
                <c:pt idx="0">
                  <c:v>75.474999999999994</c:v>
                </c:pt>
                <c:pt idx="1">
                  <c:v>2791.4290000000001</c:v>
                </c:pt>
                <c:pt idx="2">
                  <c:v>9485.9989999999998</c:v>
                </c:pt>
                <c:pt idx="3">
                  <c:v>13645.312</c:v>
                </c:pt>
                <c:pt idx="4">
                  <c:v>22364.429</c:v>
                </c:pt>
                <c:pt idx="5">
                  <c:v>25254.027999999998</c:v>
                </c:pt>
                <c:pt idx="6">
                  <c:v>34387.964</c:v>
                </c:pt>
                <c:pt idx="7">
                  <c:v>42177.637000000002</c:v>
                </c:pt>
                <c:pt idx="8">
                  <c:v>63620.264000000003</c:v>
                </c:pt>
                <c:pt idx="9">
                  <c:v>72378.418000000005</c:v>
                </c:pt>
                <c:pt idx="10">
                  <c:v>104605.811</c:v>
                </c:pt>
                <c:pt idx="11">
                  <c:v>82304.053</c:v>
                </c:pt>
                <c:pt idx="12">
                  <c:v>93699.218999999997</c:v>
                </c:pt>
                <c:pt idx="13">
                  <c:v>107617.09</c:v>
                </c:pt>
                <c:pt idx="14">
                  <c:v>111456.641</c:v>
                </c:pt>
                <c:pt idx="15">
                  <c:v>127967.285</c:v>
                </c:pt>
                <c:pt idx="16">
                  <c:v>143753.71100000001</c:v>
                </c:pt>
                <c:pt idx="17">
                  <c:v>167809.08199999999</c:v>
                </c:pt>
                <c:pt idx="18">
                  <c:v>185698.242</c:v>
                </c:pt>
                <c:pt idx="19">
                  <c:v>218623.82800000001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A-490B-9579-26C0C7F277D1}"/>
            </c:ext>
          </c:extLst>
        </c:ser>
        <c:ser>
          <c:idx val="2"/>
          <c:order val="2"/>
          <c:tx>
            <c:strRef>
              <c:f>kar_lowdigits!$F$1</c:f>
              <c:strCache>
                <c:ptCount val="1"/>
                <c:pt idx="0">
                  <c:v>Hybrid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kar_lowdigits!$A$2:$A$21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kar_lowdigits!$F$2:$F$21</c:f>
              <c:numCache>
                <c:formatCode>General</c:formatCode>
                <c:ptCount val="20"/>
                <c:pt idx="0">
                  <c:v>252.125</c:v>
                </c:pt>
                <c:pt idx="1">
                  <c:v>358.75099999999998</c:v>
                </c:pt>
                <c:pt idx="2">
                  <c:v>481.84500000000003</c:v>
                </c:pt>
                <c:pt idx="3">
                  <c:v>557.524</c:v>
                </c:pt>
                <c:pt idx="4">
                  <c:v>687.923</c:v>
                </c:pt>
                <c:pt idx="5">
                  <c:v>767.80399999999997</c:v>
                </c:pt>
                <c:pt idx="6">
                  <c:v>892.01400000000001</c:v>
                </c:pt>
                <c:pt idx="7">
                  <c:v>977.00400000000002</c:v>
                </c:pt>
                <c:pt idx="8">
                  <c:v>1240.075</c:v>
                </c:pt>
                <c:pt idx="9">
                  <c:v>1852.527</c:v>
                </c:pt>
                <c:pt idx="10">
                  <c:v>1571.1759999999999</c:v>
                </c:pt>
                <c:pt idx="11">
                  <c:v>1706.7170000000001</c:v>
                </c:pt>
                <c:pt idx="12">
                  <c:v>1874.9970000000001</c:v>
                </c:pt>
                <c:pt idx="13">
                  <c:v>2287.3989999999999</c:v>
                </c:pt>
                <c:pt idx="14">
                  <c:v>2262.9520000000002</c:v>
                </c:pt>
                <c:pt idx="15">
                  <c:v>2430.605</c:v>
                </c:pt>
                <c:pt idx="16">
                  <c:v>2765.7</c:v>
                </c:pt>
                <c:pt idx="17">
                  <c:v>3271.96</c:v>
                </c:pt>
                <c:pt idx="18">
                  <c:v>3211.5079999999998</c:v>
                </c:pt>
                <c:pt idx="19">
                  <c:v>3545.92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0A-490B-9579-26C0C7F27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587759"/>
        <c:axId val="711801168"/>
      </c:lineChart>
      <c:catAx>
        <c:axId val="182587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01168"/>
        <c:crosses val="autoZero"/>
        <c:auto val="1"/>
        <c:lblAlgn val="ctr"/>
        <c:lblOffset val="100"/>
        <c:noMultiLvlLbl val="0"/>
      </c:catAx>
      <c:valAx>
        <c:axId val="7118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Speed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8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karatsuba_exponential!$H$1</c:f>
              <c:strCache>
                <c:ptCount val="1"/>
                <c:pt idx="0">
                  <c:v>Schoolbook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karatsuba_exponential!$A$2:$A$6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karatsuba_exponential!$H$2:$H$6</c:f>
              <c:numCache>
                <c:formatCode>General</c:formatCode>
                <c:ptCount val="5"/>
                <c:pt idx="0">
                  <c:v>1.350902E-3</c:v>
                </c:pt>
                <c:pt idx="1">
                  <c:v>5.8537743999999996E-2</c:v>
                </c:pt>
                <c:pt idx="2">
                  <c:v>5.4543999999999997</c:v>
                </c:pt>
                <c:pt idx="3">
                  <c:v>546.5951</c:v>
                </c:pt>
                <c:pt idx="4">
                  <c:v>54822.473400000003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4-4757-ADAF-E4F7EE34698F}"/>
            </c:ext>
          </c:extLst>
        </c:ser>
        <c:ser>
          <c:idx val="2"/>
          <c:order val="2"/>
          <c:tx>
            <c:strRef>
              <c:f>karatsuba_exponential!$I$1</c:f>
              <c:strCache>
                <c:ptCount val="1"/>
                <c:pt idx="0">
                  <c:v>Karatsuba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karatsuba_exponential!$A$2:$A$6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karatsuba_exponential!$I$2:$I$6</c:f>
              <c:numCache>
                <c:formatCode>General</c:formatCode>
                <c:ptCount val="5"/>
                <c:pt idx="0">
                  <c:v>6.4081836000000003E-2</c:v>
                </c:pt>
                <c:pt idx="1">
                  <c:v>2.6231218749999998</c:v>
                </c:pt>
                <c:pt idx="2">
                  <c:v>96.111500000000007</c:v>
                </c:pt>
                <c:pt idx="3">
                  <c:v>4102.9350999999997</c:v>
                </c:pt>
                <c:pt idx="4">
                  <c:v>149496.27160000001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4-4757-ADAF-E4F7EE34698F}"/>
            </c:ext>
          </c:extLst>
        </c:ser>
        <c:ser>
          <c:idx val="3"/>
          <c:order val="3"/>
          <c:tx>
            <c:strRef>
              <c:f>karatsuba_exponential!$J$1</c:f>
              <c:strCache>
                <c:ptCount val="1"/>
                <c:pt idx="0">
                  <c:v>Hybrid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karatsuba_exponential!$A$2:$A$6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karatsuba_exponential!$J$2:$J$6</c:f>
              <c:numCache>
                <c:formatCode>General</c:formatCode>
                <c:ptCount val="5"/>
                <c:pt idx="0">
                  <c:v>1.4375550000000001E-3</c:v>
                </c:pt>
                <c:pt idx="1">
                  <c:v>8.4677295E-2</c:v>
                </c:pt>
                <c:pt idx="2">
                  <c:v>3.6659937500000002</c:v>
                </c:pt>
                <c:pt idx="3">
                  <c:v>184.5008</c:v>
                </c:pt>
                <c:pt idx="4">
                  <c:v>6368.8476000000001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94-4757-ADAF-E4F7EE346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800816"/>
        <c:axId val="711819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karatsuba_exponential!$A$1</c15:sqref>
                        </c15:formulaRef>
                      </c:ext>
                    </c:extLst>
                    <c:strCache>
                      <c:ptCount val="1"/>
                      <c:pt idx="0">
                        <c:v>Digits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karatsuba_exponential!$A$2:$A$6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karatsuba_exponential!$A$2:$A$6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B94-4757-ADAF-E4F7EE34698F}"/>
                  </c:ext>
                </c:extLst>
              </c15:ser>
            </c15:filteredLineSeries>
          </c:ext>
        </c:extLst>
      </c:lineChart>
      <c:catAx>
        <c:axId val="72080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19408"/>
        <c:crosses val="autoZero"/>
        <c:auto val="1"/>
        <c:lblAlgn val="ctr"/>
        <c:lblOffset val="100"/>
        <c:noMultiLvlLbl val="0"/>
      </c:catAx>
      <c:valAx>
        <c:axId val="7118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80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'cutofftesting'!$I$1</c:f>
              <c:strCache>
                <c:ptCount val="1"/>
                <c:pt idx="0">
                  <c:v>Schoolbook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'cutofftesting'!$C$2:$C$22</c:f>
              <c:numCache>
                <c:formatCode>General</c:formatCode>
                <c:ptCount val="2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cat>
          <c:val>
            <c:numRef>
              <c:f>'cutofftesting'!$I$2:$I$22</c:f>
              <c:numCache>
                <c:formatCode>General</c:formatCode>
                <c:ptCount val="21"/>
                <c:pt idx="0">
                  <c:v>5.4169843750000002</c:v>
                </c:pt>
                <c:pt idx="1">
                  <c:v>5.5202968749999997</c:v>
                </c:pt>
                <c:pt idx="2">
                  <c:v>5.41320625</c:v>
                </c:pt>
                <c:pt idx="3">
                  <c:v>5.4156656249999999</c:v>
                </c:pt>
                <c:pt idx="4">
                  <c:v>5.4417125000000004</c:v>
                </c:pt>
                <c:pt idx="5">
                  <c:v>5.4785531250000004</c:v>
                </c:pt>
                <c:pt idx="6">
                  <c:v>5.4120187499999997</c:v>
                </c:pt>
                <c:pt idx="7">
                  <c:v>5.4718999999999998</c:v>
                </c:pt>
                <c:pt idx="8">
                  <c:v>5.465353125</c:v>
                </c:pt>
                <c:pt idx="9">
                  <c:v>5.466825</c:v>
                </c:pt>
                <c:pt idx="10">
                  <c:v>5.8186656250000004</c:v>
                </c:pt>
                <c:pt idx="11">
                  <c:v>5.4630656249999996</c:v>
                </c:pt>
                <c:pt idx="12">
                  <c:v>5.4702437499999998</c:v>
                </c:pt>
                <c:pt idx="13">
                  <c:v>5.9128218749999997</c:v>
                </c:pt>
                <c:pt idx="14">
                  <c:v>5.7412875000000003</c:v>
                </c:pt>
                <c:pt idx="15">
                  <c:v>5.5235312499999996</c:v>
                </c:pt>
                <c:pt idx="16">
                  <c:v>5.5870718750000004</c:v>
                </c:pt>
                <c:pt idx="17">
                  <c:v>5.4350343749999999</c:v>
                </c:pt>
                <c:pt idx="18">
                  <c:v>5.5160625000000003</c:v>
                </c:pt>
                <c:pt idx="19">
                  <c:v>5.4697062499999998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0-4C99-A41D-24E5FE9A450B}"/>
            </c:ext>
          </c:extLst>
        </c:ser>
        <c:ser>
          <c:idx val="1"/>
          <c:order val="1"/>
          <c:tx>
            <c:strRef>
              <c:f>'cutofftesting'!$K$1</c:f>
              <c:strCache>
                <c:ptCount val="1"/>
                <c:pt idx="0">
                  <c:v>Hybrid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'cutofftesting'!$C$2:$C$22</c:f>
              <c:numCache>
                <c:formatCode>General</c:formatCode>
                <c:ptCount val="2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cat>
          <c:val>
            <c:numRef>
              <c:f>'cutofftesting'!$K$2:$K$22</c:f>
              <c:numCache>
                <c:formatCode>General</c:formatCode>
                <c:ptCount val="21"/>
                <c:pt idx="0">
                  <c:v>8.5411874999999995</c:v>
                </c:pt>
                <c:pt idx="1">
                  <c:v>5.1269468749999998</c:v>
                </c:pt>
                <c:pt idx="2">
                  <c:v>5.0675125000000003</c:v>
                </c:pt>
                <c:pt idx="3">
                  <c:v>3.6048125</c:v>
                </c:pt>
                <c:pt idx="4">
                  <c:v>3.6234968749999998</c:v>
                </c:pt>
                <c:pt idx="5">
                  <c:v>3.6603124999999999</c:v>
                </c:pt>
                <c:pt idx="6">
                  <c:v>2.9936750000000001</c:v>
                </c:pt>
                <c:pt idx="7">
                  <c:v>3.4034593750000002</c:v>
                </c:pt>
                <c:pt idx="8">
                  <c:v>3.0238765619999999</c:v>
                </c:pt>
                <c:pt idx="9">
                  <c:v>2.9901843750000001</c:v>
                </c:pt>
                <c:pt idx="10">
                  <c:v>3.009846875</c:v>
                </c:pt>
                <c:pt idx="11">
                  <c:v>3.1295812500000002</c:v>
                </c:pt>
                <c:pt idx="12">
                  <c:v>3.1123093750000002</c:v>
                </c:pt>
                <c:pt idx="13">
                  <c:v>3.0117031249999999</c:v>
                </c:pt>
                <c:pt idx="14">
                  <c:v>3.0141781249999999</c:v>
                </c:pt>
                <c:pt idx="15">
                  <c:v>3.2979781250000002</c:v>
                </c:pt>
                <c:pt idx="16">
                  <c:v>3.0139859380000003</c:v>
                </c:pt>
                <c:pt idx="17">
                  <c:v>3.0820781249999998</c:v>
                </c:pt>
                <c:pt idx="18">
                  <c:v>3.03306875</c:v>
                </c:pt>
                <c:pt idx="19">
                  <c:v>3.0910515620000001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A0-4C99-A41D-24E5FE9A4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6554960"/>
        <c:axId val="711841968"/>
      </c:lineChart>
      <c:catAx>
        <c:axId val="127655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1968"/>
        <c:crosses val="autoZero"/>
        <c:auto val="1"/>
        <c:lblAlgn val="ctr"/>
        <c:lblOffset val="100"/>
        <c:noMultiLvlLbl val="0"/>
      </c:catAx>
      <c:valAx>
        <c:axId val="71184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55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kar_lowdigits!$D$1</c:f>
              <c:strCache>
                <c:ptCount val="1"/>
                <c:pt idx="0">
                  <c:v>Schoolbook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kar_lowdigits!$A$2:$A$21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kar_lowdigits!$D$2:$D$21</c:f>
              <c:numCache>
                <c:formatCode>General</c:formatCode>
                <c:ptCount val="20"/>
                <c:pt idx="0">
                  <c:v>249.244</c:v>
                </c:pt>
                <c:pt idx="1">
                  <c:v>359.89600000000002</c:v>
                </c:pt>
                <c:pt idx="2">
                  <c:v>472.61599999999999</c:v>
                </c:pt>
                <c:pt idx="3">
                  <c:v>542.19799999999998</c:v>
                </c:pt>
                <c:pt idx="4">
                  <c:v>685.04300000000001</c:v>
                </c:pt>
                <c:pt idx="5">
                  <c:v>765.50400000000002</c:v>
                </c:pt>
                <c:pt idx="6">
                  <c:v>856.197</c:v>
                </c:pt>
                <c:pt idx="7">
                  <c:v>1009.2430000000001</c:v>
                </c:pt>
                <c:pt idx="8">
                  <c:v>1254.1389999999999</c:v>
                </c:pt>
                <c:pt idx="9">
                  <c:v>1419.9559999999999</c:v>
                </c:pt>
                <c:pt idx="10">
                  <c:v>1550.528</c:v>
                </c:pt>
                <c:pt idx="11">
                  <c:v>1723.5050000000001</c:v>
                </c:pt>
                <c:pt idx="12">
                  <c:v>1876.491</c:v>
                </c:pt>
                <c:pt idx="13">
                  <c:v>2053.3980000000001</c:v>
                </c:pt>
                <c:pt idx="14">
                  <c:v>2281.8440000000001</c:v>
                </c:pt>
                <c:pt idx="15">
                  <c:v>2437.91</c:v>
                </c:pt>
                <c:pt idx="16">
                  <c:v>2731.9229999999998</c:v>
                </c:pt>
                <c:pt idx="17">
                  <c:v>2967.6849999999999</c:v>
                </c:pt>
                <c:pt idx="18">
                  <c:v>3269.1010000000001</c:v>
                </c:pt>
                <c:pt idx="19">
                  <c:v>3492.712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E-4D02-9FE2-C8FF7D15244A}"/>
            </c:ext>
          </c:extLst>
        </c:ser>
        <c:ser>
          <c:idx val="1"/>
          <c:order val="1"/>
          <c:tx>
            <c:strRef>
              <c:f>kar_lowdigits!$E$1</c:f>
              <c:strCache>
                <c:ptCount val="1"/>
                <c:pt idx="0">
                  <c:v>Karatsuba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kar_lowdigits!$A$2:$A$21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kar_lowdigits!$E$2:$E$21</c:f>
              <c:numCache>
                <c:formatCode>General</c:formatCode>
                <c:ptCount val="20"/>
                <c:pt idx="0">
                  <c:v>75.474999999999994</c:v>
                </c:pt>
                <c:pt idx="1">
                  <c:v>2791.4290000000001</c:v>
                </c:pt>
                <c:pt idx="2">
                  <c:v>9485.9989999999998</c:v>
                </c:pt>
                <c:pt idx="3">
                  <c:v>13645.312</c:v>
                </c:pt>
                <c:pt idx="4">
                  <c:v>22364.429</c:v>
                </c:pt>
                <c:pt idx="5">
                  <c:v>25254.027999999998</c:v>
                </c:pt>
                <c:pt idx="6">
                  <c:v>34387.964</c:v>
                </c:pt>
                <c:pt idx="7">
                  <c:v>42177.637000000002</c:v>
                </c:pt>
                <c:pt idx="8">
                  <c:v>63620.264000000003</c:v>
                </c:pt>
                <c:pt idx="9">
                  <c:v>72378.418000000005</c:v>
                </c:pt>
                <c:pt idx="10">
                  <c:v>104605.811</c:v>
                </c:pt>
                <c:pt idx="11">
                  <c:v>82304.053</c:v>
                </c:pt>
                <c:pt idx="12">
                  <c:v>93699.218999999997</c:v>
                </c:pt>
                <c:pt idx="13">
                  <c:v>107617.09</c:v>
                </c:pt>
                <c:pt idx="14">
                  <c:v>111456.641</c:v>
                </c:pt>
                <c:pt idx="15">
                  <c:v>127967.285</c:v>
                </c:pt>
                <c:pt idx="16">
                  <c:v>143753.71100000001</c:v>
                </c:pt>
                <c:pt idx="17">
                  <c:v>167809.08199999999</c:v>
                </c:pt>
                <c:pt idx="18">
                  <c:v>185698.242</c:v>
                </c:pt>
                <c:pt idx="19">
                  <c:v>218623.82800000001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7E-4D02-9FE2-C8FF7D15244A}"/>
            </c:ext>
          </c:extLst>
        </c:ser>
        <c:ser>
          <c:idx val="2"/>
          <c:order val="2"/>
          <c:tx>
            <c:strRef>
              <c:f>kar_lowdigits!$F$1</c:f>
              <c:strCache>
                <c:ptCount val="1"/>
                <c:pt idx="0">
                  <c:v>Hybrid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kar_lowdigits!$A$2:$A$21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kar_lowdigits!$F$2:$F$21</c:f>
              <c:numCache>
                <c:formatCode>General</c:formatCode>
                <c:ptCount val="20"/>
                <c:pt idx="0">
                  <c:v>252.125</c:v>
                </c:pt>
                <c:pt idx="1">
                  <c:v>358.75099999999998</c:v>
                </c:pt>
                <c:pt idx="2">
                  <c:v>481.84500000000003</c:v>
                </c:pt>
                <c:pt idx="3">
                  <c:v>557.524</c:v>
                </c:pt>
                <c:pt idx="4">
                  <c:v>687.923</c:v>
                </c:pt>
                <c:pt idx="5">
                  <c:v>767.80399999999997</c:v>
                </c:pt>
                <c:pt idx="6">
                  <c:v>892.01400000000001</c:v>
                </c:pt>
                <c:pt idx="7">
                  <c:v>977.00400000000002</c:v>
                </c:pt>
                <c:pt idx="8">
                  <c:v>1240.075</c:v>
                </c:pt>
                <c:pt idx="9">
                  <c:v>1852.527</c:v>
                </c:pt>
                <c:pt idx="10">
                  <c:v>1571.1759999999999</c:v>
                </c:pt>
                <c:pt idx="11">
                  <c:v>1706.7170000000001</c:v>
                </c:pt>
                <c:pt idx="12">
                  <c:v>1874.9970000000001</c:v>
                </c:pt>
                <c:pt idx="13">
                  <c:v>2287.3989999999999</c:v>
                </c:pt>
                <c:pt idx="14">
                  <c:v>2262.9520000000002</c:v>
                </c:pt>
                <c:pt idx="15">
                  <c:v>2430.605</c:v>
                </c:pt>
                <c:pt idx="16">
                  <c:v>2765.7</c:v>
                </c:pt>
                <c:pt idx="17">
                  <c:v>3271.96</c:v>
                </c:pt>
                <c:pt idx="18">
                  <c:v>3211.5079999999998</c:v>
                </c:pt>
                <c:pt idx="19">
                  <c:v>3545.92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7E-4D02-9FE2-C8FF7D152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587759"/>
        <c:axId val="711801168"/>
      </c:lineChart>
      <c:catAx>
        <c:axId val="18258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01168"/>
        <c:crosses val="autoZero"/>
        <c:auto val="1"/>
        <c:lblAlgn val="ctr"/>
        <c:lblOffset val="100"/>
        <c:noMultiLvlLbl val="0"/>
      </c:catAx>
      <c:valAx>
        <c:axId val="7118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8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374650</xdr:colOff>
      <xdr:row>28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7A747-F8B6-4068-9762-56AAAF914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571500</xdr:colOff>
      <xdr:row>0</xdr:row>
      <xdr:rowOff>171450</xdr:rowOff>
    </xdr:from>
    <xdr:to>
      <xdr:col>28</xdr:col>
      <xdr:colOff>82550</xdr:colOff>
      <xdr:row>27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08F73B-FB40-4AFE-8BE7-06CCEAF06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603250</xdr:colOff>
      <xdr:row>30</xdr:row>
      <xdr:rowOff>12700</xdr:rowOff>
    </xdr:from>
    <xdr:to>
      <xdr:col>14</xdr:col>
      <xdr:colOff>368300</xdr:colOff>
      <xdr:row>54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FD6990-9BC5-4385-814A-13495CA5D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565150</xdr:colOff>
      <xdr:row>28</xdr:row>
      <xdr:rowOff>165100</xdr:rowOff>
    </xdr:from>
    <xdr:to>
      <xdr:col>28</xdr:col>
      <xdr:colOff>63500</xdr:colOff>
      <xdr:row>56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64693B-9A1C-4BC7-952D-E2E7C7FD7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650875</xdr:colOff>
      <xdr:row>21</xdr:row>
      <xdr:rowOff>12700</xdr:rowOff>
    </xdr:from>
    <xdr:to>
      <xdr:col>16</xdr:col>
      <xdr:colOff>200025</xdr:colOff>
      <xdr:row>35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67E728-0F6D-14D8-6942-C5011ADF9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1323975</xdr:colOff>
      <xdr:row>27</xdr:row>
      <xdr:rowOff>177800</xdr:rowOff>
    </xdr:from>
    <xdr:to>
      <xdr:col>10</xdr:col>
      <xdr:colOff>161925</xdr:colOff>
      <xdr:row>42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22C32-E60E-A6D2-8C85-5EC0A74BF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561975</xdr:colOff>
      <xdr:row>16</xdr:row>
      <xdr:rowOff>19050</xdr:rowOff>
    </xdr:from>
    <xdr:to>
      <xdr:col>21</xdr:col>
      <xdr:colOff>257175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EFC0F-94FA-BDBA-42C0-1B2D2E83A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7F9FAB9-7B12-442E-A2B3-F3C72D0A4229}" autoFormatId="16" applyNumberFormats="0" applyBorderFormats="0" applyFontFormats="0" applyPatternFormats="0" applyAlignmentFormats="0" applyWidthHeightFormats="0">
  <queryTableRefresh nextId="14">
    <queryTableFields count="13">
      <queryTableField id="1" name="Digits" tableColumnId="1"/>
      <queryTableField id="2" name="Hybrid_Cutoff" tableColumnId="2"/>
      <queryTableField id="3" name="Native_ns" tableColumnId="3"/>
      <queryTableField id="4" name="Schoolbook_ns" tableColumnId="4"/>
      <queryTableField id="5" name="Pure_Karatsuba_ns" tableColumnId="5"/>
      <queryTableField id="6" name="Hybrid_Karatsuba_ns" tableColumnId="6"/>
      <queryTableField id="13" dataBound="0" tableColumnId="14"/>
      <queryTableField id="12" dataBound="0" tableColumnId="13"/>
      <queryTableField id="11" dataBound="0" tableColumnId="12"/>
      <queryTableField id="10" dataBound="0" tableColumnId="11"/>
      <queryTableField id="9" dataBound="0" tableColumnId="10"/>
      <queryTableField id="8" dataBound="0" tableColumnId="9"/>
      <queryTableField id="7" name="Check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2512980-4877-4196-AC26-553014FEC0EF}" autoFormatId="16" applyNumberFormats="0" applyBorderFormats="0" applyFontFormats="0" applyPatternFormats="0" applyAlignmentFormats="0" applyWidthHeightFormats="0">
  <queryTableRefresh nextId="14">
    <queryTableFields count="13">
      <queryTableField id="1" name="Digits" tableColumnId="1"/>
      <queryTableField id="2" name="Hybrid_Cutoff" tableColumnId="2"/>
      <queryTableField id="3" name="Native_ns" tableColumnId="3"/>
      <queryTableField id="4" name="Schoolbook_ns" tableColumnId="4"/>
      <queryTableField id="5" name="Pure_Karatsuba_ns" tableColumnId="5"/>
      <queryTableField id="6" name="Hybrid_Karatsuba_ns" tableColumnId="6"/>
      <queryTableField id="13" dataBound="0" tableColumnId="13"/>
      <queryTableField id="12" dataBound="0" tableColumnId="12"/>
      <queryTableField id="11" dataBound="0" tableColumnId="11"/>
      <queryTableField id="10" dataBound="0" tableColumnId="10"/>
      <queryTableField id="9" dataBound="0" tableColumnId="9"/>
      <queryTableField id="8" dataBound="0" tableColumnId="8"/>
      <queryTableField id="7" name="Check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D6B2E6-E210-4BF4-A8D9-BEFD9EFCE4F4}" autoFormatId="16" applyNumberFormats="0" applyBorderFormats="0" applyFontFormats="0" applyPatternFormats="0" applyAlignmentFormats="0" applyWidthHeightFormats="0">
  <queryTableRefresh nextId="15">
    <queryTableFields count="14">
      <queryTableField id="1" name="Source.Name" tableColumnId="1"/>
      <queryTableField id="2" name="Digits" tableColumnId="2"/>
      <queryTableField id="3" name="Hybrid_Cutoff" tableColumnId="3"/>
      <queryTableField id="4" name="Native_ns" tableColumnId="4"/>
      <queryTableField id="5" name="Schoolbook_ns" tableColumnId="5"/>
      <queryTableField id="6" name="Pure_Karatsuba_ns" tableColumnId="6"/>
      <queryTableField id="7" name="Hybrid_Karatsuba_ns" tableColumnId="7"/>
      <queryTableField id="14" dataBound="0" tableColumnId="14"/>
      <queryTableField id="13" dataBound="0" tableColumnId="13"/>
      <queryTableField id="12" dataBound="0" tableColumnId="12"/>
      <queryTableField id="11" dataBound="0" tableColumnId="11"/>
      <queryTableField id="10" dataBound="0" tableColumnId="10"/>
      <queryTableField id="9" dataBound="0" tableColumnId="9"/>
      <queryTableField id="8" name="Check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7F186CB-C6AA-4F9D-9F47-BB04F876E8FE}" autoFormatId="16" applyNumberFormats="0" applyBorderFormats="0" applyFontFormats="0" applyPatternFormats="0" applyAlignmentFormats="0" applyWidthHeightFormats="0">
  <queryTableRefresh nextId="14">
    <queryTableFields count="13">
      <queryTableField id="1" name="Digits" tableColumnId="1"/>
      <queryTableField id="2" name="Hybrid_Cutoff" tableColumnId="2"/>
      <queryTableField id="3" name="Native_ns" tableColumnId="3"/>
      <queryTableField id="4" name="Schoolbook_ns" tableColumnId="4"/>
      <queryTableField id="5" name="Pure_Karatsuba_ns" tableColumnId="5"/>
      <queryTableField id="6" name="Hybrid_Karatsuba_ns" tableColumnId="6"/>
      <queryTableField id="13" dataBound="0" tableColumnId="13"/>
      <queryTableField id="12" dataBound="0" tableColumnId="12"/>
      <queryTableField id="11" dataBound="0" tableColumnId="11"/>
      <queryTableField id="10" dataBound="0" tableColumnId="10"/>
      <queryTableField id="9" dataBound="0" tableColumnId="9"/>
      <queryTableField id="8" dataBound="0" tableColumnId="8"/>
      <queryTableField id="7" name="Check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3201637-42B8-43B2-BB0D-D384DE0208C0}" autoFormatId="16" applyNumberFormats="0" applyBorderFormats="0" applyFontFormats="0" applyPatternFormats="0" applyAlignmentFormats="0" applyWidthHeightFormats="0">
  <queryTableRefresh nextId="8">
    <queryTableFields count="7">
      <queryTableField id="1" name="Digits" tableColumnId="1"/>
      <queryTableField id="2" name="Hybrid_Cutoff" tableColumnId="2"/>
      <queryTableField id="3" name="Native_ns" tableColumnId="3"/>
      <queryTableField id="4" name="Schoolbook_ns" tableColumnId="4"/>
      <queryTableField id="5" name="Pure_Karatsuba_ns" tableColumnId="5"/>
      <queryTableField id="6" name="Hybrid_Karatsuba_ns" tableColumnId="6"/>
      <queryTableField id="7" name="Check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A8FC3C-CA72-447C-A938-23A4E2C796A2}" name="karatsube_range_100_5000" displayName="karatsube_range_100_5000" ref="A1:M51" tableType="queryTable" totalsRowShown="0">
  <autoFilter ref="A1:M51" xr:uid="{69A8FC3C-CA72-447C-A938-23A4E2C796A2}"/>
  <tableColumns count="13">
    <tableColumn id="1" xr3:uid="{51DE9F2B-34BA-4AB1-A1A7-B864EC8D02B5}" uniqueName="1" name="Digits" queryTableFieldId="1"/>
    <tableColumn id="2" xr3:uid="{B28CDC06-823B-4C6D-BC69-0816FB291A16}" uniqueName="2" name="Hybrid_Cutoff" queryTableFieldId="2"/>
    <tableColumn id="3" xr3:uid="{B7930471-B10B-4971-91A5-EDEFFC7693AC}" uniqueName="3" name="Native_ns" queryTableFieldId="3" dataDxfId="28"/>
    <tableColumn id="4" xr3:uid="{FFE5318B-9A7A-4ED7-B3FF-D7173A5A8FFA}" uniqueName="4" name="Schoolbook_ns" queryTableFieldId="4"/>
    <tableColumn id="5" xr3:uid="{BB320575-05E7-41C0-B009-E402C1975BE2}" uniqueName="5" name="Pure_Karatsuba_ns" queryTableFieldId="5"/>
    <tableColumn id="6" xr3:uid="{12986D57-99AD-4FAA-9982-E4F141F581C2}" uniqueName="6" name="Hybrid_Karatsuba_ns" queryTableFieldId="6"/>
    <tableColumn id="14" xr3:uid="{FF9D3BE3-CBA8-4721-AEDE-A3506E425ACE}" uniqueName="14" name="Native" queryTableFieldId="13" dataDxfId="27">
      <calculatedColumnFormula>karatsube_range_100_5000[[#This Row],[Native_ns]]/1000000</calculatedColumnFormula>
    </tableColumn>
    <tableColumn id="13" xr3:uid="{CE0560CA-7DE7-491A-90DE-AFA97FAF96A5}" uniqueName="13" name="Schoolbook" queryTableFieldId="12">
      <calculatedColumnFormula>karatsube_range_100_5000[[#This Row],[Schoolbook_ns]]/1000000</calculatedColumnFormula>
    </tableColumn>
    <tableColumn id="12" xr3:uid="{9B1684E4-9FB5-4B6C-AF21-55C01963083C}" uniqueName="12" name="Karatsuba" queryTableFieldId="11">
      <calculatedColumnFormula>karatsube_range_100_5000[[#This Row],[Pure_Karatsuba_ns]]/1000000</calculatedColumnFormula>
    </tableColumn>
    <tableColumn id="11" xr3:uid="{C4C53179-03F4-4A76-B598-0DF3992FA08F}" uniqueName="11" name="Hybrid" queryTableFieldId="10">
      <calculatedColumnFormula>karatsube_range_100_5000[[#This Row],[Hybrid_Karatsuba_ns]]/1000000</calculatedColumnFormula>
    </tableColumn>
    <tableColumn id="10" xr3:uid="{5DC931D0-D229-431A-9993-E29C563DB1FA}" uniqueName="10" name="Pure Ratio" queryTableFieldId="9" dataDxfId="26">
      <calculatedColumnFormula>karatsube_range_100_5000[[#This Row],[Pure_Karatsuba_ns]]/karatsube_range_100_5000[[#This Row],[Schoolbook_ns]]</calculatedColumnFormula>
    </tableColumn>
    <tableColumn id="9" xr3:uid="{38B11FEB-5F93-48C9-9596-748A79DF2268}" uniqueName="9" name="Hybrid Ratio" queryTableFieldId="8" dataDxfId="25">
      <calculatedColumnFormula>karatsube_range_100_5000[[#This Row],[Hybrid_Karatsuba_ns]]/karatsube_range_100_5000[[#This Row],[Schoolbook_ns]]</calculatedColumnFormula>
    </tableColumn>
    <tableColumn id="7" xr3:uid="{9C77EA03-1C50-4B95-8E59-82C7532FAB6A}" uniqueName="7" name="Check" queryTableFieldId="7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03214C-B00E-4877-83C6-B8783B4D3BBA}" name="karatsuba_exponential" displayName="karatsuba_exponential" ref="A1:M6" tableType="queryTable" totalsRowShown="0">
  <autoFilter ref="A1:M6" xr:uid="{2B03214C-B00E-4877-83C6-B8783B4D3BBA}"/>
  <tableColumns count="13">
    <tableColumn id="1" xr3:uid="{DED8EE4B-F005-447D-828C-CDA40D3F704A}" uniqueName="1" name="Digits" queryTableFieldId="1"/>
    <tableColumn id="2" xr3:uid="{E79DFA58-963D-4764-81D6-3A0458AE6567}" uniqueName="2" name="Hybrid_Cutoff" queryTableFieldId="2"/>
    <tableColumn id="3" xr3:uid="{DC76EF72-FDF5-418C-9E4E-A48FAF920926}" uniqueName="3" name="Native_ns" queryTableFieldId="3"/>
    <tableColumn id="4" xr3:uid="{189856D8-AFB9-4150-9561-B9742C40E2AF}" uniqueName="4" name="Schoolbook_ns" queryTableFieldId="4"/>
    <tableColumn id="5" xr3:uid="{970A760B-DC6D-4E0E-AFDB-D016F2E40A07}" uniqueName="5" name="Pure_Karatsuba_ns" queryTableFieldId="5"/>
    <tableColumn id="6" xr3:uid="{9644113F-3C4D-401B-BB27-68726D8B4925}" uniqueName="6" name="Hybrid_Karatsuba_ns" queryTableFieldId="6"/>
    <tableColumn id="13" xr3:uid="{89FB9F54-F835-4DFF-B84B-DEFE0D947D6C}" uniqueName="13" name="Native" queryTableFieldId="13" dataDxfId="23">
      <calculatedColumnFormula>karatsuba_exponential[[#This Row],[Native_ns]]/1000000</calculatedColumnFormula>
    </tableColumn>
    <tableColumn id="12" xr3:uid="{D021F4F9-6F48-4C3B-8120-E5270CCDC284}" uniqueName="12" name="Schoolbook" queryTableFieldId="12" dataDxfId="22">
      <calculatedColumnFormula>karatsuba_exponential[[#This Row],[Schoolbook_ns]]/1000000</calculatedColumnFormula>
    </tableColumn>
    <tableColumn id="11" xr3:uid="{18E3BCE9-AAAE-422C-B86A-B56F9F1EA814}" uniqueName="11" name="Karatsuba" queryTableFieldId="11" dataDxfId="21">
      <calculatedColumnFormula>karatsuba_exponential[[#This Row],[Pure_Karatsuba_ns]]/1000000</calculatedColumnFormula>
    </tableColumn>
    <tableColumn id="10" xr3:uid="{DEBB6182-361A-4262-8857-6DCD65D693DE}" uniqueName="10" name="Hybrid" queryTableFieldId="10" dataDxfId="20">
      <calculatedColumnFormula>karatsuba_exponential[[#This Row],[Hybrid_Karatsuba_ns]]/1000000</calculatedColumnFormula>
    </tableColumn>
    <tableColumn id="9" xr3:uid="{BE1113D9-DBF0-4750-9737-96D0F639F00D}" uniqueName="9" name="Pure Ratio" queryTableFieldId="9" dataDxfId="19">
      <calculatedColumnFormula>karatsuba_exponential[[#This Row],[Pure_Karatsuba_ns]]/karatsuba_exponential[[#This Row],[Schoolbook_ns]]</calculatedColumnFormula>
    </tableColumn>
    <tableColumn id="8" xr3:uid="{654CDF9C-797F-444F-991F-89B8087C3D66}" uniqueName="8" name="Hybrid Ratio" queryTableFieldId="8" dataDxfId="18">
      <calculatedColumnFormula>karatsuba_exponential[[#This Row],[Hybrid_Karatsuba_ns]]/karatsuba_exponential[[#This Row],[Schoolbook_ns]]</calculatedColumnFormula>
    </tableColumn>
    <tableColumn id="7" xr3:uid="{76FEA51C-BCD5-44E5-9DC2-78E7BD14D308}" uniqueName="7" name="Check" queryTableFieldId="7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36DB4D-57BD-4A1C-9281-8A67678227A9}" name="cutofftesting" displayName="cutofftesting" ref="A1:N22" tableType="queryTable" totalsRowShown="0">
  <autoFilter ref="A1:N22" xr:uid="{4A36DB4D-57BD-4A1C-9281-8A67678227A9}"/>
  <sortState xmlns:xlrd2="http://schemas.microsoft.com/office/spreadsheetml/2017/richdata2" ref="A2:N11">
    <sortCondition ref="C1:C11"/>
  </sortState>
  <tableColumns count="14">
    <tableColumn id="1" xr3:uid="{ECB3EA39-53E8-45DE-BB4E-1210872596E4}" uniqueName="1" name="Source.Name" queryTableFieldId="1" dataDxfId="16"/>
    <tableColumn id="2" xr3:uid="{93424F9B-BC54-4018-89F2-7256241F9FE8}" uniqueName="2" name="Digits" queryTableFieldId="2"/>
    <tableColumn id="3" xr3:uid="{71BEE8D9-11A2-49A0-9ADF-2739E4F5356C}" uniqueName="3" name="Hybrid_Cutoff" queryTableFieldId="3"/>
    <tableColumn id="4" xr3:uid="{0029E9FB-8403-4440-B4B3-ADAF0EFF598D}" uniqueName="4" name="Native_ns" queryTableFieldId="4"/>
    <tableColumn id="5" xr3:uid="{B4C4837B-9E62-4574-A14C-3B33B9A57BCF}" uniqueName="5" name="Schoolbook_ns" queryTableFieldId="5"/>
    <tableColumn id="6" xr3:uid="{F173EAED-BF37-4C48-914D-72736F924FA7}" uniqueName="6" name="Pure_Karatsuba_ns" queryTableFieldId="6"/>
    <tableColumn id="7" xr3:uid="{1D54A555-09B5-4BC8-BB82-2ECB07A8936C}" uniqueName="7" name="Hybrid_Karatsuba_ns" queryTableFieldId="7"/>
    <tableColumn id="14" xr3:uid="{ED860058-517E-4937-BB28-FBFD3BAFDB7C}" uniqueName="14" name="Native" queryTableFieldId="14" dataDxfId="15">
      <calculatedColumnFormula>cutofftesting[[#This Row],[Native_ns]]/1000000</calculatedColumnFormula>
    </tableColumn>
    <tableColumn id="13" xr3:uid="{45102B58-333B-4EC7-A9B4-1E146BB21DB0}" uniqueName="13" name="Schoolbook" queryTableFieldId="13" dataDxfId="14">
      <calculatedColumnFormula>cutofftesting[[#This Row],[Schoolbook_ns]]/1000000</calculatedColumnFormula>
    </tableColumn>
    <tableColumn id="12" xr3:uid="{ECAFA94D-2D15-46D5-A117-E87831823AD4}" uniqueName="12" name="Karatsuba" queryTableFieldId="12" dataDxfId="13">
      <calculatedColumnFormula>cutofftesting[[#This Row],[Pure_Karatsuba_ns]]/1000000</calculatedColumnFormula>
    </tableColumn>
    <tableColumn id="11" xr3:uid="{7B4B95E1-F3CB-4219-B272-569DE7B484C2}" uniqueName="11" name="Hybrid" queryTableFieldId="11" dataDxfId="12">
      <calculatedColumnFormula>cutofftesting[[#This Row],[Hybrid_Karatsuba_ns]]/1000000</calculatedColumnFormula>
    </tableColumn>
    <tableColumn id="10" xr3:uid="{10C87FE2-5FCF-41D3-A2B4-928E9F3E0625}" uniqueName="10" name="Pure Ratio" queryTableFieldId="10" dataDxfId="11">
      <calculatedColumnFormula>cutofftesting[[#This Row],[Pure_Karatsuba_ns]]/cutofftesting[[#This Row],[Schoolbook_ns]]</calculatedColumnFormula>
    </tableColumn>
    <tableColumn id="9" xr3:uid="{91C5335D-C456-44DE-9CE1-D8991A1FD489}" uniqueName="9" name="Hybrid Ratio" queryTableFieldId="9" dataDxfId="10">
      <calculatedColumnFormula>cutofftesting[[#This Row],[Hybrid_Karatsuba_ns]]/cutofftesting[[#This Row],[Schoolbook_ns]]</calculatedColumnFormula>
    </tableColumn>
    <tableColumn id="8" xr3:uid="{2539B120-6CA5-4584-AC82-D6369F99D7BC}" uniqueName="8" name="Check" queryTableFieldId="8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A61547-DAF6-4066-8D7D-6A2FA431F60B}" name="kar_lowdigits" displayName="kar_lowdigits" ref="A1:M101" tableType="queryTable" totalsRowShown="0">
  <autoFilter ref="A1:M101" xr:uid="{FCA61547-DAF6-4066-8D7D-6A2FA431F60B}"/>
  <tableColumns count="13">
    <tableColumn id="1" xr3:uid="{C2F1D9FE-0EF2-41A8-9F91-6E07ACFA71CA}" uniqueName="1" name="Digits" queryTableFieldId="1"/>
    <tableColumn id="2" xr3:uid="{B155AB8B-A0EC-4E28-B6E8-067592A26834}" uniqueName="2" name="Hybrid_Cutoff" queryTableFieldId="2"/>
    <tableColumn id="3" xr3:uid="{583AB57D-2283-4F47-BE47-D1FAC6DA2E61}" uniqueName="3" name="Native" queryTableFieldId="3"/>
    <tableColumn id="4" xr3:uid="{7A46C2FB-9872-4991-BD17-DB9AA897D694}" uniqueName="4" name="Schoolbook" queryTableFieldId="4"/>
    <tableColumn id="5" xr3:uid="{B5480492-731C-4232-BC7B-72B9BDC331B8}" uniqueName="5" name="Karatsuba" queryTableFieldId="5"/>
    <tableColumn id="6" xr3:uid="{B1C0C92A-5984-4767-9593-35B3C7FB092D}" uniqueName="6" name="Hybrid" queryTableFieldId="6"/>
    <tableColumn id="13" xr3:uid="{671734EB-F8AE-4A11-9BA8-32D5F714E289}" uniqueName="13" name="Native Speed2" queryTableFieldId="13" dataDxfId="8">
      <calculatedColumnFormula>kar_lowdigits[[#This Row],[Native]]/1000000</calculatedColumnFormula>
    </tableColumn>
    <tableColumn id="12" xr3:uid="{446179A9-E4F6-4A69-A15A-AFE932E5B42B}" uniqueName="12" name="Schoolbook Speed3" queryTableFieldId="12" dataDxfId="7">
      <calculatedColumnFormula>kar_lowdigits[[#This Row],[Schoolbook]]/1000000</calculatedColumnFormula>
    </tableColumn>
    <tableColumn id="11" xr3:uid="{81A46E74-0E23-4BD1-A800-37D66A74005F}" uniqueName="11" name="Karatsuba Speed4" queryTableFieldId="11" dataDxfId="6">
      <calculatedColumnFormula>kar_lowdigits[[#This Row],[Karatsuba]]/1000000</calculatedColumnFormula>
    </tableColumn>
    <tableColumn id="10" xr3:uid="{882FE526-E731-49ED-8B6D-169DED210201}" uniqueName="10" name="Hybrid Speed5" queryTableFieldId="10" dataDxfId="5">
      <calculatedColumnFormula>kar_lowdigits[[#This Row],[Hybrid]]/1000000</calculatedColumnFormula>
    </tableColumn>
    <tableColumn id="9" xr3:uid="{797EFDBB-01C5-4DE6-A8F4-E4B0D2528090}" uniqueName="9" name="Pure Ratio" queryTableFieldId="9" dataDxfId="4">
      <calculatedColumnFormula>kar_lowdigits[[#This Row],[Karatsuba]]/kar_lowdigits[[#This Row],[Schoolbook]]</calculatedColumnFormula>
    </tableColumn>
    <tableColumn id="8" xr3:uid="{FE6417E8-2E05-411E-AA7D-688428C6854D}" uniqueName="8" name="Hybrid Ratio" queryTableFieldId="8" dataDxfId="3">
      <calculatedColumnFormula>kar_lowdigits[[#This Row],[Hybrid]]/kar_lowdigits[[#This Row],[Schoolbook]]</calculatedColumnFormula>
    </tableColumn>
    <tableColumn id="7" xr3:uid="{C415C7D9-C438-4129-B3C2-EB3239319975}" uniqueName="7" name="Check" queryTableFieldId="7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CE2250-C6DB-4960-BD7C-D84383611907}" name="kar190_" displayName="kar190_" ref="A1:G2" tableType="queryTable" totalsRowShown="0">
  <autoFilter ref="A1:G2" xr:uid="{28CE2250-C6DB-4960-BD7C-D84383611907}"/>
  <tableColumns count="7">
    <tableColumn id="1" xr3:uid="{A4B859A6-BB1B-4639-8476-E5BB374FEE15}" uniqueName="1" name="Digits" queryTableFieldId="1"/>
    <tableColumn id="2" xr3:uid="{0245AB3A-A77A-49F5-9C52-2F7D531AA9DF}" uniqueName="2" name="Hybrid_Cutoff" queryTableFieldId="2"/>
    <tableColumn id="3" xr3:uid="{961CFA43-2682-42FB-BA37-685A3ED42EA8}" uniqueName="3" name="Native_ns" queryTableFieldId="3" dataDxfId="1"/>
    <tableColumn id="4" xr3:uid="{34C4036C-224D-474F-9A1E-F9E037158AE7}" uniqueName="4" name="Schoolbook_ns" queryTableFieldId="4"/>
    <tableColumn id="5" xr3:uid="{A3C4BA72-C882-45E7-ABBC-248DD41DDA8F}" uniqueName="5" name="Pure_Karatsuba_ns" queryTableFieldId="5"/>
    <tableColumn id="6" xr3:uid="{B7429868-4E28-4A06-AC60-C4F48FCCDC88}" uniqueName="6" name="Hybrid_Karatsuba_ns" queryTableFieldId="6"/>
    <tableColumn id="7" xr3:uid="{5706398A-8B3F-4C6E-9325-116425C651EE}" uniqueName="7" name="Check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1566-295E-4390-B6B5-35EE694FC7B1}">
  <dimension ref="A1"/>
  <sheetViews>
    <sheetView tabSelected="1" workbookViewId="0">
      <selection activeCell="AE41" sqref="AE4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664A-4B15-4732-A4D2-DE05AC78D545}">
  <dimension ref="A1:M51"/>
  <sheetViews>
    <sheetView workbookViewId="0">
      <selection activeCell="G1" sqref="G1:J1"/>
    </sheetView>
  </sheetViews>
  <sheetFormatPr defaultRowHeight="14.5" x14ac:dyDescent="0.35"/>
  <cols>
    <col min="1" max="1" width="7.90625" bestFit="1" customWidth="1"/>
    <col min="2" max="2" width="14.7265625" bestFit="1" customWidth="1"/>
    <col min="3" max="3" width="11.26953125" bestFit="1" customWidth="1"/>
    <col min="4" max="4" width="15.81640625" bestFit="1" customWidth="1"/>
    <col min="5" max="5" width="19.08984375" bestFit="1" customWidth="1"/>
    <col min="6" max="6" width="20.90625" bestFit="1" customWidth="1"/>
    <col min="7" max="12" width="20.90625" customWidth="1"/>
    <col min="13" max="13" width="8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27</v>
      </c>
      <c r="I1" t="s">
        <v>28</v>
      </c>
      <c r="J1" t="s">
        <v>29</v>
      </c>
      <c r="K1" t="s">
        <v>20</v>
      </c>
      <c r="L1" t="s">
        <v>21</v>
      </c>
      <c r="M1" t="s">
        <v>6</v>
      </c>
    </row>
    <row r="2" spans="1:13" x14ac:dyDescent="0.35">
      <c r="A2">
        <v>100</v>
      </c>
      <c r="B2">
        <v>32</v>
      </c>
      <c r="C2" t="s">
        <v>7</v>
      </c>
      <c r="D2">
        <v>57998.192999999999</v>
      </c>
      <c r="E2">
        <v>2572195.3119999999</v>
      </c>
      <c r="F2">
        <v>84240.039000000004</v>
      </c>
      <c r="G2" t="e">
        <f>karatsube_range_100_5000[[#This Row],[Native_ns]]/1000000</f>
        <v>#VALUE!</v>
      </c>
      <c r="H2">
        <f>karatsube_range_100_5000[[#This Row],[Schoolbook_ns]]/1000000</f>
        <v>5.7998192999999996E-2</v>
      </c>
      <c r="I2">
        <f>karatsube_range_100_5000[[#This Row],[Pure_Karatsuba_ns]]/1000000</f>
        <v>2.5721953119999998</v>
      </c>
      <c r="J2">
        <f>karatsube_range_100_5000[[#This Row],[Hybrid_Karatsuba_ns]]/1000000</f>
        <v>8.4240039000000003E-2</v>
      </c>
      <c r="K2">
        <f>karatsube_range_100_5000[[#This Row],[Pure_Karatsuba_ns]]/karatsube_range_100_5000[[#This Row],[Schoolbook_ns]]</f>
        <v>44.349576753192984</v>
      </c>
      <c r="L2">
        <f>karatsube_range_100_5000[[#This Row],[Hybrid_Karatsuba_ns]]/karatsube_range_100_5000[[#This Row],[Schoolbook_ns]]</f>
        <v>1.4524597171501534</v>
      </c>
      <c r="M2" t="s">
        <v>8</v>
      </c>
    </row>
    <row r="3" spans="1:13" x14ac:dyDescent="0.35">
      <c r="A3">
        <v>200</v>
      </c>
      <c r="B3">
        <v>32</v>
      </c>
      <c r="C3" t="s">
        <v>7</v>
      </c>
      <c r="D3">
        <v>225646.484</v>
      </c>
      <c r="E3">
        <v>7723712.5</v>
      </c>
      <c r="F3">
        <v>283711.13299999997</v>
      </c>
      <c r="G3" t="e">
        <f>karatsube_range_100_5000[[#This Row],[Native_ns]]/1000000</f>
        <v>#VALUE!</v>
      </c>
      <c r="H3">
        <f>karatsube_range_100_5000[[#This Row],[Schoolbook_ns]]/1000000</f>
        <v>0.22564648400000001</v>
      </c>
      <c r="I3">
        <f>karatsube_range_100_5000[[#This Row],[Pure_Karatsuba_ns]]/1000000</f>
        <v>7.7237125000000004</v>
      </c>
      <c r="J3">
        <f>karatsube_range_100_5000[[#This Row],[Hybrid_Karatsuba_ns]]/1000000</f>
        <v>0.28371113299999995</v>
      </c>
      <c r="K3">
        <f>karatsube_range_100_5000[[#This Row],[Pure_Karatsuba_ns]]/karatsube_range_100_5000[[#This Row],[Schoolbook_ns]]</f>
        <v>34.229261467242715</v>
      </c>
      <c r="L3">
        <f>karatsube_range_100_5000[[#This Row],[Hybrid_Karatsuba_ns]]/karatsube_range_100_5000[[#This Row],[Schoolbook_ns]]</f>
        <v>1.2573257423324176</v>
      </c>
      <c r="M3" t="s">
        <v>8</v>
      </c>
    </row>
    <row r="4" spans="1:13" x14ac:dyDescent="0.35">
      <c r="A4">
        <v>300</v>
      </c>
      <c r="B4">
        <v>32</v>
      </c>
      <c r="C4" t="s">
        <v>7</v>
      </c>
      <c r="D4">
        <v>502923.43800000002</v>
      </c>
      <c r="E4">
        <v>15524562.5</v>
      </c>
      <c r="F4">
        <v>680193.35900000005</v>
      </c>
      <c r="G4" t="e">
        <f>karatsube_range_100_5000[[#This Row],[Native_ns]]/1000000</f>
        <v>#VALUE!</v>
      </c>
      <c r="H4">
        <f>karatsube_range_100_5000[[#This Row],[Schoolbook_ns]]/1000000</f>
        <v>0.50292343800000006</v>
      </c>
      <c r="I4">
        <f>karatsube_range_100_5000[[#This Row],[Pure_Karatsuba_ns]]/1000000</f>
        <v>15.5245625</v>
      </c>
      <c r="J4">
        <f>karatsube_range_100_5000[[#This Row],[Hybrid_Karatsuba_ns]]/1000000</f>
        <v>0.68019335900000011</v>
      </c>
      <c r="K4">
        <f>karatsube_range_100_5000[[#This Row],[Pure_Karatsuba_ns]]/karatsube_range_100_5000[[#This Row],[Schoolbook_ns]]</f>
        <v>30.86863989027292</v>
      </c>
      <c r="L4">
        <f>karatsube_range_100_5000[[#This Row],[Hybrid_Karatsuba_ns]]/karatsube_range_100_5000[[#This Row],[Schoolbook_ns]]</f>
        <v>1.352478941337389</v>
      </c>
      <c r="M4" t="s">
        <v>8</v>
      </c>
    </row>
    <row r="5" spans="1:13" x14ac:dyDescent="0.35">
      <c r="A5">
        <v>400</v>
      </c>
      <c r="B5">
        <v>32</v>
      </c>
      <c r="C5" t="s">
        <v>7</v>
      </c>
      <c r="D5">
        <v>877412.5</v>
      </c>
      <c r="E5">
        <v>22887087.5</v>
      </c>
      <c r="F5">
        <v>922214.06200000003</v>
      </c>
      <c r="G5" t="e">
        <f>karatsube_range_100_5000[[#This Row],[Native_ns]]/1000000</f>
        <v>#VALUE!</v>
      </c>
      <c r="H5">
        <f>karatsube_range_100_5000[[#This Row],[Schoolbook_ns]]/1000000</f>
        <v>0.87741250000000004</v>
      </c>
      <c r="I5">
        <f>karatsube_range_100_5000[[#This Row],[Pure_Karatsuba_ns]]/1000000</f>
        <v>22.8870875</v>
      </c>
      <c r="J5">
        <f>karatsube_range_100_5000[[#This Row],[Hybrid_Karatsuba_ns]]/1000000</f>
        <v>0.922214062</v>
      </c>
      <c r="K5">
        <f>karatsube_range_100_5000[[#This Row],[Pure_Karatsuba_ns]]/karatsube_range_100_5000[[#This Row],[Schoolbook_ns]]</f>
        <v>26.084752040801789</v>
      </c>
      <c r="L5">
        <f>karatsube_range_100_5000[[#This Row],[Hybrid_Karatsuba_ns]]/karatsube_range_100_5000[[#This Row],[Schoolbook_ns]]</f>
        <v>1.0510610026640834</v>
      </c>
      <c r="M5" t="s">
        <v>8</v>
      </c>
    </row>
    <row r="6" spans="1:13" x14ac:dyDescent="0.35">
      <c r="A6">
        <v>500</v>
      </c>
      <c r="B6">
        <v>32</v>
      </c>
      <c r="C6" t="s">
        <v>7</v>
      </c>
      <c r="D6">
        <v>1391793.75</v>
      </c>
      <c r="E6">
        <v>31340025</v>
      </c>
      <c r="F6">
        <v>1180896.094</v>
      </c>
      <c r="G6" t="e">
        <f>karatsube_range_100_5000[[#This Row],[Native_ns]]/1000000</f>
        <v>#VALUE!</v>
      </c>
      <c r="H6">
        <f>karatsube_range_100_5000[[#This Row],[Schoolbook_ns]]/1000000</f>
        <v>1.3917937499999999</v>
      </c>
      <c r="I6">
        <f>karatsube_range_100_5000[[#This Row],[Pure_Karatsuba_ns]]/1000000</f>
        <v>31.340025000000001</v>
      </c>
      <c r="J6">
        <f>karatsube_range_100_5000[[#This Row],[Hybrid_Karatsuba_ns]]/1000000</f>
        <v>1.180896094</v>
      </c>
      <c r="K6">
        <f>karatsube_range_100_5000[[#This Row],[Pure_Karatsuba_ns]]/karatsube_range_100_5000[[#This Row],[Schoolbook_ns]]</f>
        <v>22.517722184052055</v>
      </c>
      <c r="L6">
        <f>karatsube_range_100_5000[[#This Row],[Hybrid_Karatsuba_ns]]/karatsube_range_100_5000[[#This Row],[Schoolbook_ns]]</f>
        <v>0.84847061139626478</v>
      </c>
      <c r="M6" t="s">
        <v>8</v>
      </c>
    </row>
    <row r="7" spans="1:13" x14ac:dyDescent="0.35">
      <c r="A7">
        <v>600</v>
      </c>
      <c r="B7">
        <v>32</v>
      </c>
      <c r="C7" t="s">
        <v>7</v>
      </c>
      <c r="D7">
        <v>1961717.1880000001</v>
      </c>
      <c r="E7">
        <v>46807675</v>
      </c>
      <c r="F7">
        <v>2119420.3119999999</v>
      </c>
      <c r="G7" t="e">
        <f>karatsube_range_100_5000[[#This Row],[Native_ns]]/1000000</f>
        <v>#VALUE!</v>
      </c>
      <c r="H7">
        <f>karatsube_range_100_5000[[#This Row],[Schoolbook_ns]]/1000000</f>
        <v>1.9617171880000002</v>
      </c>
      <c r="I7">
        <f>karatsube_range_100_5000[[#This Row],[Pure_Karatsuba_ns]]/1000000</f>
        <v>46.807675000000003</v>
      </c>
      <c r="J7">
        <f>karatsube_range_100_5000[[#This Row],[Hybrid_Karatsuba_ns]]/1000000</f>
        <v>2.1194203119999999</v>
      </c>
      <c r="K7">
        <f>karatsube_range_100_5000[[#This Row],[Pure_Karatsuba_ns]]/karatsube_range_100_5000[[#This Row],[Schoolbook_ns]]</f>
        <v>23.86056220862352</v>
      </c>
      <c r="L7">
        <f>karatsube_range_100_5000[[#This Row],[Hybrid_Karatsuba_ns]]/karatsube_range_100_5000[[#This Row],[Schoolbook_ns]]</f>
        <v>1.0803903462561699</v>
      </c>
      <c r="M7" t="s">
        <v>8</v>
      </c>
    </row>
    <row r="8" spans="1:13" x14ac:dyDescent="0.35">
      <c r="A8">
        <v>700</v>
      </c>
      <c r="B8">
        <v>32</v>
      </c>
      <c r="C8" t="s">
        <v>7</v>
      </c>
      <c r="D8">
        <v>2669073.4380000001</v>
      </c>
      <c r="E8">
        <v>57107000</v>
      </c>
      <c r="F8">
        <v>2409743.75</v>
      </c>
      <c r="G8" t="e">
        <f>karatsube_range_100_5000[[#This Row],[Native_ns]]/1000000</f>
        <v>#VALUE!</v>
      </c>
      <c r="H8">
        <f>karatsube_range_100_5000[[#This Row],[Schoolbook_ns]]/1000000</f>
        <v>2.6690734380000003</v>
      </c>
      <c r="I8">
        <f>karatsube_range_100_5000[[#This Row],[Pure_Karatsuba_ns]]/1000000</f>
        <v>57.106999999999999</v>
      </c>
      <c r="J8">
        <f>karatsube_range_100_5000[[#This Row],[Hybrid_Karatsuba_ns]]/1000000</f>
        <v>2.4097437500000001</v>
      </c>
      <c r="K8">
        <f>karatsube_range_100_5000[[#This Row],[Pure_Karatsuba_ns]]/karatsube_range_100_5000[[#This Row],[Schoolbook_ns]]</f>
        <v>21.395814437684272</v>
      </c>
      <c r="L8">
        <f>karatsube_range_100_5000[[#This Row],[Hybrid_Karatsuba_ns]]/karatsube_range_100_5000[[#This Row],[Schoolbook_ns]]</f>
        <v>0.90283905856321367</v>
      </c>
      <c r="M8" t="s">
        <v>8</v>
      </c>
    </row>
    <row r="9" spans="1:13" x14ac:dyDescent="0.35">
      <c r="A9">
        <v>800</v>
      </c>
      <c r="B9">
        <v>32</v>
      </c>
      <c r="C9" t="s">
        <v>7</v>
      </c>
      <c r="D9">
        <v>3475903.125</v>
      </c>
      <c r="E9">
        <v>69657350</v>
      </c>
      <c r="F9">
        <v>2824517.1880000001</v>
      </c>
      <c r="G9" t="e">
        <f>karatsube_range_100_5000[[#This Row],[Native_ns]]/1000000</f>
        <v>#VALUE!</v>
      </c>
      <c r="H9">
        <f>karatsube_range_100_5000[[#This Row],[Schoolbook_ns]]/1000000</f>
        <v>3.4759031249999999</v>
      </c>
      <c r="I9">
        <f>karatsube_range_100_5000[[#This Row],[Pure_Karatsuba_ns]]/1000000</f>
        <v>69.657349999999994</v>
      </c>
      <c r="J9">
        <f>karatsube_range_100_5000[[#This Row],[Hybrid_Karatsuba_ns]]/1000000</f>
        <v>2.8245171880000002</v>
      </c>
      <c r="K9">
        <f>karatsube_range_100_5000[[#This Row],[Pure_Karatsuba_ns]]/karatsube_range_100_5000[[#This Row],[Schoolbook_ns]]</f>
        <v>20.040072319334275</v>
      </c>
      <c r="L9">
        <f>karatsube_range_100_5000[[#This Row],[Hybrid_Karatsuba_ns]]/karatsube_range_100_5000[[#This Row],[Schoolbook_ns]]</f>
        <v>0.81259951339984482</v>
      </c>
      <c r="M9" t="s">
        <v>8</v>
      </c>
    </row>
    <row r="10" spans="1:13" x14ac:dyDescent="0.35">
      <c r="A10">
        <v>900</v>
      </c>
      <c r="B10">
        <v>32</v>
      </c>
      <c r="C10" t="s">
        <v>7</v>
      </c>
      <c r="D10">
        <v>4445846.875</v>
      </c>
      <c r="E10">
        <v>81273700</v>
      </c>
      <c r="F10">
        <v>3192206.25</v>
      </c>
      <c r="G10" t="e">
        <f>karatsube_range_100_5000[[#This Row],[Native_ns]]/1000000</f>
        <v>#VALUE!</v>
      </c>
      <c r="H10">
        <f>karatsube_range_100_5000[[#This Row],[Schoolbook_ns]]/1000000</f>
        <v>4.445846875</v>
      </c>
      <c r="I10">
        <f>karatsube_range_100_5000[[#This Row],[Pure_Karatsuba_ns]]/1000000</f>
        <v>81.273700000000005</v>
      </c>
      <c r="J10">
        <f>karatsube_range_100_5000[[#This Row],[Hybrid_Karatsuba_ns]]/1000000</f>
        <v>3.1922062499999999</v>
      </c>
      <c r="K10">
        <f>karatsube_range_100_5000[[#This Row],[Pure_Karatsuba_ns]]/karatsube_range_100_5000[[#This Row],[Schoolbook_ns]]</f>
        <v>18.280814046255248</v>
      </c>
      <c r="L10">
        <f>karatsube_range_100_5000[[#This Row],[Hybrid_Karatsuba_ns]]/karatsube_range_100_5000[[#This Row],[Schoolbook_ns]]</f>
        <v>0.71801983733414121</v>
      </c>
      <c r="M10" t="s">
        <v>8</v>
      </c>
    </row>
    <row r="11" spans="1:13" x14ac:dyDescent="0.35">
      <c r="A11">
        <v>1000</v>
      </c>
      <c r="B11">
        <v>32</v>
      </c>
      <c r="C11" t="s">
        <v>7</v>
      </c>
      <c r="D11">
        <v>5442468.75</v>
      </c>
      <c r="E11">
        <v>94968750</v>
      </c>
      <c r="F11">
        <v>3663440.625</v>
      </c>
      <c r="G11" t="e">
        <f>karatsube_range_100_5000[[#This Row],[Native_ns]]/1000000</f>
        <v>#VALUE!</v>
      </c>
      <c r="H11">
        <f>karatsube_range_100_5000[[#This Row],[Schoolbook_ns]]/1000000</f>
        <v>5.4424687499999997</v>
      </c>
      <c r="I11">
        <f>karatsube_range_100_5000[[#This Row],[Pure_Karatsuba_ns]]/1000000</f>
        <v>94.96875</v>
      </c>
      <c r="J11">
        <f>karatsube_range_100_5000[[#This Row],[Hybrid_Karatsuba_ns]]/1000000</f>
        <v>3.6634406249999998</v>
      </c>
      <c r="K11">
        <f>karatsube_range_100_5000[[#This Row],[Pure_Karatsuba_ns]]/karatsube_range_100_5000[[#This Row],[Schoolbook_ns]]</f>
        <v>17.449571942879782</v>
      </c>
      <c r="L11">
        <f>karatsube_range_100_5000[[#This Row],[Hybrid_Karatsuba_ns]]/karatsube_range_100_5000[[#This Row],[Schoolbook_ns]]</f>
        <v>0.6731211134652817</v>
      </c>
      <c r="M11" t="s">
        <v>8</v>
      </c>
    </row>
    <row r="12" spans="1:13" x14ac:dyDescent="0.35">
      <c r="A12">
        <v>1100</v>
      </c>
      <c r="B12">
        <v>32</v>
      </c>
      <c r="C12" t="s">
        <v>7</v>
      </c>
      <c r="D12">
        <v>6614393.75</v>
      </c>
      <c r="E12">
        <v>121348100</v>
      </c>
      <c r="F12">
        <v>5811484.375</v>
      </c>
      <c r="G12" t="e">
        <f>karatsube_range_100_5000[[#This Row],[Native_ns]]/1000000</f>
        <v>#VALUE!</v>
      </c>
      <c r="H12">
        <f>karatsube_range_100_5000[[#This Row],[Schoolbook_ns]]/1000000</f>
        <v>6.6143937499999996</v>
      </c>
      <c r="I12">
        <f>karatsube_range_100_5000[[#This Row],[Pure_Karatsuba_ns]]/1000000</f>
        <v>121.3481</v>
      </c>
      <c r="J12">
        <f>karatsube_range_100_5000[[#This Row],[Hybrid_Karatsuba_ns]]/1000000</f>
        <v>5.811484375</v>
      </c>
      <c r="K12">
        <f>karatsube_range_100_5000[[#This Row],[Pure_Karatsuba_ns]]/karatsube_range_100_5000[[#This Row],[Schoolbook_ns]]</f>
        <v>18.346065351794334</v>
      </c>
      <c r="L12">
        <f>karatsube_range_100_5000[[#This Row],[Hybrid_Karatsuba_ns]]/karatsube_range_100_5000[[#This Row],[Schoolbook_ns]]</f>
        <v>0.87861179643259069</v>
      </c>
      <c r="M12" t="s">
        <v>8</v>
      </c>
    </row>
    <row r="13" spans="1:13" x14ac:dyDescent="0.35">
      <c r="A13">
        <v>1200</v>
      </c>
      <c r="B13">
        <v>32</v>
      </c>
      <c r="C13" t="s">
        <v>7</v>
      </c>
      <c r="D13">
        <v>7886931.25</v>
      </c>
      <c r="E13">
        <v>142105900</v>
      </c>
      <c r="F13">
        <v>6411831.25</v>
      </c>
      <c r="G13" t="e">
        <f>karatsube_range_100_5000[[#This Row],[Native_ns]]/1000000</f>
        <v>#VALUE!</v>
      </c>
      <c r="H13">
        <f>karatsube_range_100_5000[[#This Row],[Schoolbook_ns]]/1000000</f>
        <v>7.8869312499999999</v>
      </c>
      <c r="I13">
        <f>karatsube_range_100_5000[[#This Row],[Pure_Karatsuba_ns]]/1000000</f>
        <v>142.10589999999999</v>
      </c>
      <c r="J13">
        <f>karatsube_range_100_5000[[#This Row],[Hybrid_Karatsuba_ns]]/1000000</f>
        <v>6.4118312499999996</v>
      </c>
      <c r="K13">
        <f>karatsube_range_100_5000[[#This Row],[Pure_Karatsuba_ns]]/karatsube_range_100_5000[[#This Row],[Schoolbook_ns]]</f>
        <v>18.017895109710764</v>
      </c>
      <c r="L13">
        <f>karatsube_range_100_5000[[#This Row],[Hybrid_Karatsuba_ns]]/karatsube_range_100_5000[[#This Row],[Schoolbook_ns]]</f>
        <v>0.81296908097176579</v>
      </c>
      <c r="M13" t="s">
        <v>8</v>
      </c>
    </row>
    <row r="14" spans="1:13" x14ac:dyDescent="0.35">
      <c r="A14">
        <v>1300</v>
      </c>
      <c r="B14">
        <v>32</v>
      </c>
      <c r="C14" t="s">
        <v>7</v>
      </c>
      <c r="D14">
        <v>9272043.75</v>
      </c>
      <c r="E14">
        <v>161091400</v>
      </c>
      <c r="F14">
        <v>6937325</v>
      </c>
      <c r="G14" t="e">
        <f>karatsube_range_100_5000[[#This Row],[Native_ns]]/1000000</f>
        <v>#VALUE!</v>
      </c>
      <c r="H14">
        <f>karatsube_range_100_5000[[#This Row],[Schoolbook_ns]]/1000000</f>
        <v>9.2720437499999999</v>
      </c>
      <c r="I14">
        <f>karatsube_range_100_5000[[#This Row],[Pure_Karatsuba_ns]]/1000000</f>
        <v>161.09139999999999</v>
      </c>
      <c r="J14">
        <f>karatsube_range_100_5000[[#This Row],[Hybrid_Karatsuba_ns]]/1000000</f>
        <v>6.9373250000000004</v>
      </c>
      <c r="K14">
        <f>karatsube_range_100_5000[[#This Row],[Pure_Karatsuba_ns]]/karatsube_range_100_5000[[#This Row],[Schoolbook_ns]]</f>
        <v>17.373882645883761</v>
      </c>
      <c r="L14">
        <f>karatsube_range_100_5000[[#This Row],[Hybrid_Karatsuba_ns]]/karatsube_range_100_5000[[#This Row],[Schoolbook_ns]]</f>
        <v>0.74819804425534553</v>
      </c>
      <c r="M14" t="s">
        <v>8</v>
      </c>
    </row>
    <row r="15" spans="1:13" x14ac:dyDescent="0.35">
      <c r="A15">
        <v>1400</v>
      </c>
      <c r="B15">
        <v>32</v>
      </c>
      <c r="C15" t="s">
        <v>7</v>
      </c>
      <c r="D15">
        <v>10715650</v>
      </c>
      <c r="E15">
        <v>171610300</v>
      </c>
      <c r="F15">
        <v>7465675</v>
      </c>
      <c r="G15" t="e">
        <f>karatsube_range_100_5000[[#This Row],[Native_ns]]/1000000</f>
        <v>#VALUE!</v>
      </c>
      <c r="H15">
        <f>karatsube_range_100_5000[[#This Row],[Schoolbook_ns]]/1000000</f>
        <v>10.71565</v>
      </c>
      <c r="I15">
        <f>karatsube_range_100_5000[[#This Row],[Pure_Karatsuba_ns]]/1000000</f>
        <v>171.6103</v>
      </c>
      <c r="J15">
        <f>karatsube_range_100_5000[[#This Row],[Hybrid_Karatsuba_ns]]/1000000</f>
        <v>7.4656750000000001</v>
      </c>
      <c r="K15">
        <f>karatsube_range_100_5000[[#This Row],[Pure_Karatsuba_ns]]/karatsube_range_100_5000[[#This Row],[Schoolbook_ns]]</f>
        <v>16.014922099919279</v>
      </c>
      <c r="L15">
        <f>karatsube_range_100_5000[[#This Row],[Hybrid_Karatsuba_ns]]/karatsube_range_100_5000[[#This Row],[Schoolbook_ns]]</f>
        <v>0.69670761922981805</v>
      </c>
      <c r="M15" t="s">
        <v>8</v>
      </c>
    </row>
    <row r="16" spans="1:13" x14ac:dyDescent="0.35">
      <c r="A16">
        <v>1500</v>
      </c>
      <c r="B16">
        <v>32</v>
      </c>
      <c r="C16" t="s">
        <v>7</v>
      </c>
      <c r="D16">
        <v>12207931.25</v>
      </c>
      <c r="E16">
        <v>186696300</v>
      </c>
      <c r="F16">
        <v>8000656.25</v>
      </c>
      <c r="G16" t="e">
        <f>karatsube_range_100_5000[[#This Row],[Native_ns]]/1000000</f>
        <v>#VALUE!</v>
      </c>
      <c r="H16">
        <f>karatsube_range_100_5000[[#This Row],[Schoolbook_ns]]/1000000</f>
        <v>12.20793125</v>
      </c>
      <c r="I16">
        <f>karatsube_range_100_5000[[#This Row],[Pure_Karatsuba_ns]]/1000000</f>
        <v>186.69630000000001</v>
      </c>
      <c r="J16">
        <f>karatsube_range_100_5000[[#This Row],[Hybrid_Karatsuba_ns]]/1000000</f>
        <v>8.0006562500000005</v>
      </c>
      <c r="K16">
        <f>karatsube_range_100_5000[[#This Row],[Pure_Karatsuba_ns]]/karatsube_range_100_5000[[#This Row],[Schoolbook_ns]]</f>
        <v>15.293033371235605</v>
      </c>
      <c r="L16">
        <f>karatsube_range_100_5000[[#This Row],[Hybrid_Karatsuba_ns]]/karatsube_range_100_5000[[#This Row],[Schoolbook_ns]]</f>
        <v>0.65536544121675</v>
      </c>
      <c r="M16" t="s">
        <v>8</v>
      </c>
    </row>
    <row r="17" spans="1:13" x14ac:dyDescent="0.35">
      <c r="A17">
        <v>1600</v>
      </c>
      <c r="B17">
        <v>32</v>
      </c>
      <c r="C17" t="s">
        <v>7</v>
      </c>
      <c r="D17">
        <v>13939837.5</v>
      </c>
      <c r="E17">
        <v>208146900</v>
      </c>
      <c r="F17">
        <v>8669231.25</v>
      </c>
      <c r="G17" t="e">
        <f>karatsube_range_100_5000[[#This Row],[Native_ns]]/1000000</f>
        <v>#VALUE!</v>
      </c>
      <c r="H17">
        <f>karatsube_range_100_5000[[#This Row],[Schoolbook_ns]]/1000000</f>
        <v>13.939837499999999</v>
      </c>
      <c r="I17">
        <f>karatsube_range_100_5000[[#This Row],[Pure_Karatsuba_ns]]/1000000</f>
        <v>208.14689999999999</v>
      </c>
      <c r="J17">
        <f>karatsube_range_100_5000[[#This Row],[Hybrid_Karatsuba_ns]]/1000000</f>
        <v>8.6692312499999993</v>
      </c>
      <c r="K17">
        <f>karatsube_range_100_5000[[#This Row],[Pure_Karatsuba_ns]]/karatsube_range_100_5000[[#This Row],[Schoolbook_ns]]</f>
        <v>14.931802469002957</v>
      </c>
      <c r="L17">
        <f>karatsube_range_100_5000[[#This Row],[Hybrid_Karatsuba_ns]]/karatsube_range_100_5000[[#This Row],[Schoolbook_ns]]</f>
        <v>0.62190332204374688</v>
      </c>
      <c r="M17" t="s">
        <v>8</v>
      </c>
    </row>
    <row r="18" spans="1:13" x14ac:dyDescent="0.35">
      <c r="A18">
        <v>1700</v>
      </c>
      <c r="B18">
        <v>32</v>
      </c>
      <c r="C18" t="s">
        <v>7</v>
      </c>
      <c r="D18">
        <v>15786762.5</v>
      </c>
      <c r="E18">
        <v>227319000</v>
      </c>
      <c r="F18">
        <v>9164250</v>
      </c>
      <c r="G18" t="e">
        <f>karatsube_range_100_5000[[#This Row],[Native_ns]]/1000000</f>
        <v>#VALUE!</v>
      </c>
      <c r="H18">
        <f>karatsube_range_100_5000[[#This Row],[Schoolbook_ns]]/1000000</f>
        <v>15.7867625</v>
      </c>
      <c r="I18">
        <f>karatsube_range_100_5000[[#This Row],[Pure_Karatsuba_ns]]/1000000</f>
        <v>227.31899999999999</v>
      </c>
      <c r="J18">
        <f>karatsube_range_100_5000[[#This Row],[Hybrid_Karatsuba_ns]]/1000000</f>
        <v>9.1642499999999991</v>
      </c>
      <c r="K18">
        <f>karatsube_range_100_5000[[#This Row],[Pure_Karatsuba_ns]]/karatsube_range_100_5000[[#This Row],[Schoolbook_ns]]</f>
        <v>14.399342487099556</v>
      </c>
      <c r="L18">
        <f>karatsube_range_100_5000[[#This Row],[Hybrid_Karatsuba_ns]]/karatsube_range_100_5000[[#This Row],[Schoolbook_ns]]</f>
        <v>0.58050217706131957</v>
      </c>
      <c r="M18" t="s">
        <v>8</v>
      </c>
    </row>
    <row r="19" spans="1:13" x14ac:dyDescent="0.35">
      <c r="A19">
        <v>1800</v>
      </c>
      <c r="B19">
        <v>32</v>
      </c>
      <c r="C19" t="s">
        <v>7</v>
      </c>
      <c r="D19">
        <v>17608625</v>
      </c>
      <c r="E19">
        <v>244716300</v>
      </c>
      <c r="F19">
        <v>9881962.5</v>
      </c>
      <c r="G19" t="e">
        <f>karatsube_range_100_5000[[#This Row],[Native_ns]]/1000000</f>
        <v>#VALUE!</v>
      </c>
      <c r="H19">
        <f>karatsube_range_100_5000[[#This Row],[Schoolbook_ns]]/1000000</f>
        <v>17.608625</v>
      </c>
      <c r="I19">
        <f>karatsube_range_100_5000[[#This Row],[Pure_Karatsuba_ns]]/1000000</f>
        <v>244.71629999999999</v>
      </c>
      <c r="J19">
        <f>karatsube_range_100_5000[[#This Row],[Hybrid_Karatsuba_ns]]/1000000</f>
        <v>9.8819625000000002</v>
      </c>
      <c r="K19">
        <f>karatsube_range_100_5000[[#This Row],[Pure_Karatsuba_ns]]/karatsube_range_100_5000[[#This Row],[Schoolbook_ns]]</f>
        <v>13.89752465056187</v>
      </c>
      <c r="L19">
        <f>karatsube_range_100_5000[[#This Row],[Hybrid_Karatsuba_ns]]/karatsube_range_100_5000[[#This Row],[Schoolbook_ns]]</f>
        <v>0.56120012209925529</v>
      </c>
      <c r="M19" t="s">
        <v>8</v>
      </c>
    </row>
    <row r="20" spans="1:13" x14ac:dyDescent="0.35">
      <c r="A20">
        <v>1900</v>
      </c>
      <c r="B20">
        <v>32</v>
      </c>
      <c r="C20" t="s">
        <v>7</v>
      </c>
      <c r="D20">
        <v>19635212.5</v>
      </c>
      <c r="E20">
        <v>263555800</v>
      </c>
      <c r="F20">
        <v>10500150</v>
      </c>
      <c r="G20" t="e">
        <f>karatsube_range_100_5000[[#This Row],[Native_ns]]/1000000</f>
        <v>#VALUE!</v>
      </c>
      <c r="H20">
        <f>karatsube_range_100_5000[[#This Row],[Schoolbook_ns]]/1000000</f>
        <v>19.635212500000002</v>
      </c>
      <c r="I20">
        <f>karatsube_range_100_5000[[#This Row],[Pure_Karatsuba_ns]]/1000000</f>
        <v>263.55579999999998</v>
      </c>
      <c r="J20">
        <f>karatsube_range_100_5000[[#This Row],[Hybrid_Karatsuba_ns]]/1000000</f>
        <v>10.50015</v>
      </c>
      <c r="K20">
        <f>karatsube_range_100_5000[[#This Row],[Pure_Karatsuba_ns]]/karatsube_range_100_5000[[#This Row],[Schoolbook_ns]]</f>
        <v>13.422610017589573</v>
      </c>
      <c r="L20">
        <f>karatsube_range_100_5000[[#This Row],[Hybrid_Karatsuba_ns]]/karatsube_range_100_5000[[#This Row],[Schoolbook_ns]]</f>
        <v>0.53476121024918877</v>
      </c>
      <c r="M20" t="s">
        <v>8</v>
      </c>
    </row>
    <row r="21" spans="1:13" x14ac:dyDescent="0.35">
      <c r="A21">
        <v>2000</v>
      </c>
      <c r="B21">
        <v>32</v>
      </c>
      <c r="C21" t="s">
        <v>7</v>
      </c>
      <c r="D21">
        <v>21580887.5</v>
      </c>
      <c r="E21">
        <v>284385100</v>
      </c>
      <c r="F21">
        <v>11280143.75</v>
      </c>
      <c r="G21" t="e">
        <f>karatsube_range_100_5000[[#This Row],[Native_ns]]/1000000</f>
        <v>#VALUE!</v>
      </c>
      <c r="H21">
        <f>karatsube_range_100_5000[[#This Row],[Schoolbook_ns]]/1000000</f>
        <v>21.580887499999999</v>
      </c>
      <c r="I21">
        <f>karatsube_range_100_5000[[#This Row],[Pure_Karatsuba_ns]]/1000000</f>
        <v>284.38510000000002</v>
      </c>
      <c r="J21">
        <f>karatsube_range_100_5000[[#This Row],[Hybrid_Karatsuba_ns]]/1000000</f>
        <v>11.280143750000001</v>
      </c>
      <c r="K21">
        <f>karatsube_range_100_5000[[#This Row],[Pure_Karatsuba_ns]]/karatsube_range_100_5000[[#This Row],[Schoolbook_ns]]</f>
        <v>13.177636925265469</v>
      </c>
      <c r="L21">
        <f>karatsube_range_100_5000[[#This Row],[Hybrid_Karatsuba_ns]]/karatsube_range_100_5000[[#This Row],[Schoolbook_ns]]</f>
        <v>0.52269137448587322</v>
      </c>
      <c r="M21" t="s">
        <v>8</v>
      </c>
    </row>
    <row r="22" spans="1:13" x14ac:dyDescent="0.35">
      <c r="A22">
        <v>2100</v>
      </c>
      <c r="B22">
        <v>32</v>
      </c>
      <c r="C22" t="s">
        <v>7</v>
      </c>
      <c r="D22">
        <v>23772175</v>
      </c>
      <c r="E22">
        <v>322724900</v>
      </c>
      <c r="F22">
        <v>16544537.5</v>
      </c>
      <c r="G22" t="e">
        <f>karatsube_range_100_5000[[#This Row],[Native_ns]]/1000000</f>
        <v>#VALUE!</v>
      </c>
      <c r="H22">
        <f>karatsube_range_100_5000[[#This Row],[Schoolbook_ns]]/1000000</f>
        <v>23.772175000000001</v>
      </c>
      <c r="I22">
        <f>karatsube_range_100_5000[[#This Row],[Pure_Karatsuba_ns]]/1000000</f>
        <v>322.72489999999999</v>
      </c>
      <c r="J22">
        <f>karatsube_range_100_5000[[#This Row],[Hybrid_Karatsuba_ns]]/1000000</f>
        <v>16.544537500000001</v>
      </c>
      <c r="K22">
        <f>karatsube_range_100_5000[[#This Row],[Pure_Karatsuba_ns]]/karatsube_range_100_5000[[#This Row],[Schoolbook_ns]]</f>
        <v>13.575741386726289</v>
      </c>
      <c r="L22">
        <f>karatsube_range_100_5000[[#This Row],[Hybrid_Karatsuba_ns]]/karatsube_range_100_5000[[#This Row],[Schoolbook_ns]]</f>
        <v>0.69596229625602202</v>
      </c>
      <c r="M22" t="s">
        <v>8</v>
      </c>
    </row>
    <row r="23" spans="1:13" x14ac:dyDescent="0.35">
      <c r="A23">
        <v>2200</v>
      </c>
      <c r="B23">
        <v>32</v>
      </c>
      <c r="C23" t="s">
        <v>7</v>
      </c>
      <c r="D23">
        <v>26081300</v>
      </c>
      <c r="E23">
        <v>359840600</v>
      </c>
      <c r="F23">
        <v>17747450</v>
      </c>
      <c r="G23" t="e">
        <f>karatsube_range_100_5000[[#This Row],[Native_ns]]/1000000</f>
        <v>#VALUE!</v>
      </c>
      <c r="H23">
        <f>karatsube_range_100_5000[[#This Row],[Schoolbook_ns]]/1000000</f>
        <v>26.081299999999999</v>
      </c>
      <c r="I23">
        <f>karatsube_range_100_5000[[#This Row],[Pure_Karatsuba_ns]]/1000000</f>
        <v>359.84059999999999</v>
      </c>
      <c r="J23">
        <f>karatsube_range_100_5000[[#This Row],[Hybrid_Karatsuba_ns]]/1000000</f>
        <v>17.747450000000001</v>
      </c>
      <c r="K23">
        <f>karatsube_range_100_5000[[#This Row],[Pure_Karatsuba_ns]]/karatsube_range_100_5000[[#This Row],[Schoolbook_ns]]</f>
        <v>13.796881290426475</v>
      </c>
      <c r="L23">
        <f>karatsube_range_100_5000[[#This Row],[Hybrid_Karatsuba_ns]]/karatsube_range_100_5000[[#This Row],[Schoolbook_ns]]</f>
        <v>0.68046646447838111</v>
      </c>
      <c r="M23" t="s">
        <v>8</v>
      </c>
    </row>
    <row r="24" spans="1:13" x14ac:dyDescent="0.35">
      <c r="A24">
        <v>2300</v>
      </c>
      <c r="B24">
        <v>32</v>
      </c>
      <c r="C24" t="s">
        <v>7</v>
      </c>
      <c r="D24">
        <v>28726975</v>
      </c>
      <c r="E24">
        <v>389488300</v>
      </c>
      <c r="F24">
        <v>18704225</v>
      </c>
      <c r="G24" t="e">
        <f>karatsube_range_100_5000[[#This Row],[Native_ns]]/1000000</f>
        <v>#VALUE!</v>
      </c>
      <c r="H24">
        <f>karatsube_range_100_5000[[#This Row],[Schoolbook_ns]]/1000000</f>
        <v>28.726974999999999</v>
      </c>
      <c r="I24">
        <f>karatsube_range_100_5000[[#This Row],[Pure_Karatsuba_ns]]/1000000</f>
        <v>389.48829999999998</v>
      </c>
      <c r="J24">
        <f>karatsube_range_100_5000[[#This Row],[Hybrid_Karatsuba_ns]]/1000000</f>
        <v>18.704225000000001</v>
      </c>
      <c r="K24">
        <f>karatsube_range_100_5000[[#This Row],[Pure_Karatsuba_ns]]/karatsube_range_100_5000[[#This Row],[Schoolbook_ns]]</f>
        <v>13.558277542275162</v>
      </c>
      <c r="L24">
        <f>karatsube_range_100_5000[[#This Row],[Hybrid_Karatsuba_ns]]/karatsube_range_100_5000[[#This Row],[Schoolbook_ns]]</f>
        <v>0.65110318785740584</v>
      </c>
      <c r="M24" t="s">
        <v>8</v>
      </c>
    </row>
    <row r="25" spans="1:13" x14ac:dyDescent="0.35">
      <c r="A25">
        <v>2400</v>
      </c>
      <c r="B25">
        <v>32</v>
      </c>
      <c r="C25" t="s">
        <v>7</v>
      </c>
      <c r="D25">
        <v>31094300</v>
      </c>
      <c r="E25">
        <v>418893800</v>
      </c>
      <c r="F25">
        <v>19314375</v>
      </c>
      <c r="G25" t="e">
        <f>karatsube_range_100_5000[[#This Row],[Native_ns]]/1000000</f>
        <v>#VALUE!</v>
      </c>
      <c r="H25">
        <f>karatsube_range_100_5000[[#This Row],[Schoolbook_ns]]/1000000</f>
        <v>31.0943</v>
      </c>
      <c r="I25">
        <f>karatsube_range_100_5000[[#This Row],[Pure_Karatsuba_ns]]/1000000</f>
        <v>418.8938</v>
      </c>
      <c r="J25">
        <f>karatsube_range_100_5000[[#This Row],[Hybrid_Karatsuba_ns]]/1000000</f>
        <v>19.314374999999998</v>
      </c>
      <c r="K25">
        <f>karatsube_range_100_5000[[#This Row],[Pure_Karatsuba_ns]]/karatsube_range_100_5000[[#This Row],[Schoolbook_ns]]</f>
        <v>13.471723113239404</v>
      </c>
      <c r="L25">
        <f>karatsube_range_100_5000[[#This Row],[Hybrid_Karatsuba_ns]]/karatsube_range_100_5000[[#This Row],[Schoolbook_ns]]</f>
        <v>0.62115484188420389</v>
      </c>
      <c r="M25" t="s">
        <v>8</v>
      </c>
    </row>
    <row r="26" spans="1:13" x14ac:dyDescent="0.35">
      <c r="A26">
        <v>2500</v>
      </c>
      <c r="B26">
        <v>32</v>
      </c>
      <c r="C26" t="s">
        <v>7</v>
      </c>
      <c r="D26">
        <v>33716100</v>
      </c>
      <c r="E26">
        <v>443338400</v>
      </c>
      <c r="F26">
        <v>20122125</v>
      </c>
      <c r="G26" t="e">
        <f>karatsube_range_100_5000[[#This Row],[Native_ns]]/1000000</f>
        <v>#VALUE!</v>
      </c>
      <c r="H26">
        <f>karatsube_range_100_5000[[#This Row],[Schoolbook_ns]]/1000000</f>
        <v>33.716099999999997</v>
      </c>
      <c r="I26">
        <f>karatsube_range_100_5000[[#This Row],[Pure_Karatsuba_ns]]/1000000</f>
        <v>443.33839999999998</v>
      </c>
      <c r="J26">
        <f>karatsube_range_100_5000[[#This Row],[Hybrid_Karatsuba_ns]]/1000000</f>
        <v>20.122125</v>
      </c>
      <c r="K26">
        <f>karatsube_range_100_5000[[#This Row],[Pure_Karatsuba_ns]]/karatsube_range_100_5000[[#This Row],[Schoolbook_ns]]</f>
        <v>13.149160193498062</v>
      </c>
      <c r="L26">
        <f>karatsube_range_100_5000[[#This Row],[Hybrid_Karatsuba_ns]]/karatsube_range_100_5000[[#This Row],[Schoolbook_ns]]</f>
        <v>0.59681057417672867</v>
      </c>
      <c r="M26" t="s">
        <v>8</v>
      </c>
    </row>
    <row r="27" spans="1:13" x14ac:dyDescent="0.35">
      <c r="A27">
        <v>2600</v>
      </c>
      <c r="B27">
        <v>32</v>
      </c>
      <c r="C27" t="s">
        <v>7</v>
      </c>
      <c r="D27">
        <v>36458450</v>
      </c>
      <c r="E27">
        <v>468532500</v>
      </c>
      <c r="F27">
        <v>20809125</v>
      </c>
      <c r="G27" t="e">
        <f>karatsube_range_100_5000[[#This Row],[Native_ns]]/1000000</f>
        <v>#VALUE!</v>
      </c>
      <c r="H27">
        <f>karatsube_range_100_5000[[#This Row],[Schoolbook_ns]]/1000000</f>
        <v>36.458449999999999</v>
      </c>
      <c r="I27">
        <f>karatsube_range_100_5000[[#This Row],[Pure_Karatsuba_ns]]/1000000</f>
        <v>468.53250000000003</v>
      </c>
      <c r="J27">
        <f>karatsube_range_100_5000[[#This Row],[Hybrid_Karatsuba_ns]]/1000000</f>
        <v>20.809125000000002</v>
      </c>
      <c r="K27">
        <f>karatsube_range_100_5000[[#This Row],[Pure_Karatsuba_ns]]/karatsube_range_100_5000[[#This Row],[Schoolbook_ns]]</f>
        <v>12.851136019221881</v>
      </c>
      <c r="L27">
        <f>karatsube_range_100_5000[[#This Row],[Hybrid_Karatsuba_ns]]/karatsube_range_100_5000[[#This Row],[Schoolbook_ns]]</f>
        <v>0.57076274498778745</v>
      </c>
      <c r="M27" t="s">
        <v>8</v>
      </c>
    </row>
    <row r="28" spans="1:13" x14ac:dyDescent="0.35">
      <c r="A28">
        <v>2700</v>
      </c>
      <c r="B28">
        <v>32</v>
      </c>
      <c r="C28" t="s">
        <v>7</v>
      </c>
      <c r="D28">
        <v>39350125</v>
      </c>
      <c r="E28">
        <v>493890400</v>
      </c>
      <c r="F28">
        <v>22048387.5</v>
      </c>
      <c r="G28" t="e">
        <f>karatsube_range_100_5000[[#This Row],[Native_ns]]/1000000</f>
        <v>#VALUE!</v>
      </c>
      <c r="H28">
        <f>karatsube_range_100_5000[[#This Row],[Schoolbook_ns]]/1000000</f>
        <v>39.350124999999998</v>
      </c>
      <c r="I28">
        <f>karatsube_range_100_5000[[#This Row],[Pure_Karatsuba_ns]]/1000000</f>
        <v>493.8904</v>
      </c>
      <c r="J28">
        <f>karatsube_range_100_5000[[#This Row],[Hybrid_Karatsuba_ns]]/1000000</f>
        <v>22.0483875</v>
      </c>
      <c r="K28">
        <f>karatsube_range_100_5000[[#This Row],[Pure_Karatsuba_ns]]/karatsube_range_100_5000[[#This Row],[Schoolbook_ns]]</f>
        <v>12.551177410491071</v>
      </c>
      <c r="L28">
        <f>karatsube_range_100_5000[[#This Row],[Hybrid_Karatsuba_ns]]/karatsube_range_100_5000[[#This Row],[Schoolbook_ns]]</f>
        <v>0.56031302314795695</v>
      </c>
      <c r="M28" t="s">
        <v>8</v>
      </c>
    </row>
    <row r="29" spans="1:13" x14ac:dyDescent="0.35">
      <c r="A29">
        <v>2800</v>
      </c>
      <c r="B29">
        <v>32</v>
      </c>
      <c r="C29" t="s">
        <v>7</v>
      </c>
      <c r="D29">
        <v>42846650</v>
      </c>
      <c r="E29">
        <v>516354900</v>
      </c>
      <c r="F29">
        <v>22779362.5</v>
      </c>
      <c r="G29" t="e">
        <f>karatsube_range_100_5000[[#This Row],[Native_ns]]/1000000</f>
        <v>#VALUE!</v>
      </c>
      <c r="H29">
        <f>karatsube_range_100_5000[[#This Row],[Schoolbook_ns]]/1000000</f>
        <v>42.846649999999997</v>
      </c>
      <c r="I29">
        <f>karatsube_range_100_5000[[#This Row],[Pure_Karatsuba_ns]]/1000000</f>
        <v>516.35490000000004</v>
      </c>
      <c r="J29">
        <f>karatsube_range_100_5000[[#This Row],[Hybrid_Karatsuba_ns]]/1000000</f>
        <v>22.779362500000001</v>
      </c>
      <c r="K29">
        <f>karatsube_range_100_5000[[#This Row],[Pure_Karatsuba_ns]]/karatsube_range_100_5000[[#This Row],[Schoolbook_ns]]</f>
        <v>12.051231543189491</v>
      </c>
      <c r="L29">
        <f>karatsube_range_100_5000[[#This Row],[Hybrid_Karatsuba_ns]]/karatsube_range_100_5000[[#This Row],[Schoolbook_ns]]</f>
        <v>0.53164862363802068</v>
      </c>
      <c r="M29" t="s">
        <v>8</v>
      </c>
    </row>
    <row r="30" spans="1:13" x14ac:dyDescent="0.35">
      <c r="A30">
        <v>2900</v>
      </c>
      <c r="B30">
        <v>32</v>
      </c>
      <c r="C30" t="s">
        <v>7</v>
      </c>
      <c r="D30">
        <v>45855300</v>
      </c>
      <c r="E30">
        <v>536544900</v>
      </c>
      <c r="F30">
        <v>23367725</v>
      </c>
      <c r="G30" t="e">
        <f>karatsube_range_100_5000[[#This Row],[Native_ns]]/1000000</f>
        <v>#VALUE!</v>
      </c>
      <c r="H30">
        <f>karatsube_range_100_5000[[#This Row],[Schoolbook_ns]]/1000000</f>
        <v>45.8553</v>
      </c>
      <c r="I30">
        <f>karatsube_range_100_5000[[#This Row],[Pure_Karatsuba_ns]]/1000000</f>
        <v>536.54489999999998</v>
      </c>
      <c r="J30">
        <f>karatsube_range_100_5000[[#This Row],[Hybrid_Karatsuba_ns]]/1000000</f>
        <v>23.367725</v>
      </c>
      <c r="K30">
        <f>karatsube_range_100_5000[[#This Row],[Pure_Karatsuba_ns]]/karatsube_range_100_5000[[#This Row],[Schoolbook_ns]]</f>
        <v>11.700826294888486</v>
      </c>
      <c r="L30">
        <f>karatsube_range_100_5000[[#This Row],[Hybrid_Karatsuba_ns]]/karatsube_range_100_5000[[#This Row],[Schoolbook_ns]]</f>
        <v>0.50959703676565193</v>
      </c>
      <c r="M30" t="s">
        <v>8</v>
      </c>
    </row>
    <row r="31" spans="1:13" x14ac:dyDescent="0.35">
      <c r="A31">
        <v>3000</v>
      </c>
      <c r="B31">
        <v>32</v>
      </c>
      <c r="C31" t="s">
        <v>7</v>
      </c>
      <c r="D31">
        <v>49186400</v>
      </c>
      <c r="E31">
        <v>559421800</v>
      </c>
      <c r="F31">
        <v>24331162.5</v>
      </c>
      <c r="G31" t="e">
        <f>karatsube_range_100_5000[[#This Row],[Native_ns]]/1000000</f>
        <v>#VALUE!</v>
      </c>
      <c r="H31">
        <f>karatsube_range_100_5000[[#This Row],[Schoolbook_ns]]/1000000</f>
        <v>49.186399999999999</v>
      </c>
      <c r="I31">
        <f>karatsube_range_100_5000[[#This Row],[Pure_Karatsuba_ns]]/1000000</f>
        <v>559.42179999999996</v>
      </c>
      <c r="J31">
        <f>karatsube_range_100_5000[[#This Row],[Hybrid_Karatsuba_ns]]/1000000</f>
        <v>24.331162500000001</v>
      </c>
      <c r="K31">
        <f>karatsube_range_100_5000[[#This Row],[Pure_Karatsuba_ns]]/karatsube_range_100_5000[[#This Row],[Schoolbook_ns]]</f>
        <v>11.373505684498154</v>
      </c>
      <c r="L31">
        <f>karatsube_range_100_5000[[#This Row],[Hybrid_Karatsuba_ns]]/karatsube_range_100_5000[[#This Row],[Schoolbook_ns]]</f>
        <v>0.49467256192768733</v>
      </c>
      <c r="M31" t="s">
        <v>8</v>
      </c>
    </row>
    <row r="32" spans="1:13" x14ac:dyDescent="0.35">
      <c r="A32">
        <v>3100</v>
      </c>
      <c r="B32">
        <v>32</v>
      </c>
      <c r="C32" t="s">
        <v>7</v>
      </c>
      <c r="D32">
        <v>52284850</v>
      </c>
      <c r="E32">
        <v>593740700</v>
      </c>
      <c r="F32">
        <v>25306825</v>
      </c>
      <c r="G32" t="e">
        <f>karatsube_range_100_5000[[#This Row],[Native_ns]]/1000000</f>
        <v>#VALUE!</v>
      </c>
      <c r="H32">
        <f>karatsube_range_100_5000[[#This Row],[Schoolbook_ns]]/1000000</f>
        <v>52.284849999999999</v>
      </c>
      <c r="I32">
        <f>karatsube_range_100_5000[[#This Row],[Pure_Karatsuba_ns]]/1000000</f>
        <v>593.74069999999995</v>
      </c>
      <c r="J32">
        <f>karatsube_range_100_5000[[#This Row],[Hybrid_Karatsuba_ns]]/1000000</f>
        <v>25.306825</v>
      </c>
      <c r="K32">
        <f>karatsube_range_100_5000[[#This Row],[Pure_Karatsuba_ns]]/karatsube_range_100_5000[[#This Row],[Schoolbook_ns]]</f>
        <v>11.355884161473162</v>
      </c>
      <c r="L32">
        <f>karatsube_range_100_5000[[#This Row],[Hybrid_Karatsuba_ns]]/karatsube_range_100_5000[[#This Row],[Schoolbook_ns]]</f>
        <v>0.48401831505684723</v>
      </c>
      <c r="M32" t="s">
        <v>8</v>
      </c>
    </row>
    <row r="33" spans="1:13" x14ac:dyDescent="0.35">
      <c r="A33">
        <v>3200</v>
      </c>
      <c r="B33">
        <v>32</v>
      </c>
      <c r="C33" t="s">
        <v>7</v>
      </c>
      <c r="D33">
        <v>55177400</v>
      </c>
      <c r="E33">
        <v>626539700</v>
      </c>
      <c r="F33">
        <v>26395650</v>
      </c>
      <c r="G33" t="e">
        <f>karatsube_range_100_5000[[#This Row],[Native_ns]]/1000000</f>
        <v>#VALUE!</v>
      </c>
      <c r="H33">
        <f>karatsube_range_100_5000[[#This Row],[Schoolbook_ns]]/1000000</f>
        <v>55.177399999999999</v>
      </c>
      <c r="I33">
        <f>karatsube_range_100_5000[[#This Row],[Pure_Karatsuba_ns]]/1000000</f>
        <v>626.53970000000004</v>
      </c>
      <c r="J33">
        <f>karatsube_range_100_5000[[#This Row],[Hybrid_Karatsuba_ns]]/1000000</f>
        <v>26.39565</v>
      </c>
      <c r="K33">
        <f>karatsube_range_100_5000[[#This Row],[Pure_Karatsuba_ns]]/karatsube_range_100_5000[[#This Row],[Schoolbook_ns]]</f>
        <v>11.35500585384596</v>
      </c>
      <c r="L33">
        <f>karatsube_range_100_5000[[#This Row],[Hybrid_Karatsuba_ns]]/karatsube_range_100_5000[[#This Row],[Schoolbook_ns]]</f>
        <v>0.47837792284522285</v>
      </c>
      <c r="M33" t="s">
        <v>8</v>
      </c>
    </row>
    <row r="34" spans="1:13" x14ac:dyDescent="0.35">
      <c r="A34">
        <v>3300</v>
      </c>
      <c r="B34">
        <v>32</v>
      </c>
      <c r="C34" t="s">
        <v>7</v>
      </c>
      <c r="D34">
        <v>59221300</v>
      </c>
      <c r="E34">
        <v>676575700</v>
      </c>
      <c r="F34">
        <v>27837200</v>
      </c>
      <c r="G34" t="e">
        <f>karatsube_range_100_5000[[#This Row],[Native_ns]]/1000000</f>
        <v>#VALUE!</v>
      </c>
      <c r="H34">
        <f>karatsube_range_100_5000[[#This Row],[Schoolbook_ns]]/1000000</f>
        <v>59.221299999999999</v>
      </c>
      <c r="I34">
        <f>karatsube_range_100_5000[[#This Row],[Pure_Karatsuba_ns]]/1000000</f>
        <v>676.57569999999998</v>
      </c>
      <c r="J34">
        <f>karatsube_range_100_5000[[#This Row],[Hybrid_Karatsuba_ns]]/1000000</f>
        <v>27.837199999999999</v>
      </c>
      <c r="K34">
        <f>karatsube_range_100_5000[[#This Row],[Pure_Karatsuba_ns]]/karatsube_range_100_5000[[#This Row],[Schoolbook_ns]]</f>
        <v>11.424533064961425</v>
      </c>
      <c r="L34">
        <f>karatsube_range_100_5000[[#This Row],[Hybrid_Karatsuba_ns]]/karatsube_range_100_5000[[#This Row],[Schoolbook_ns]]</f>
        <v>0.47005384886856588</v>
      </c>
      <c r="M34" t="s">
        <v>8</v>
      </c>
    </row>
    <row r="35" spans="1:13" x14ac:dyDescent="0.35">
      <c r="A35">
        <v>3400</v>
      </c>
      <c r="B35">
        <v>32</v>
      </c>
      <c r="C35" t="s">
        <v>7</v>
      </c>
      <c r="D35">
        <v>63182600</v>
      </c>
      <c r="E35">
        <v>700325900</v>
      </c>
      <c r="F35">
        <v>28118000</v>
      </c>
      <c r="G35" t="e">
        <f>karatsube_range_100_5000[[#This Row],[Native_ns]]/1000000</f>
        <v>#VALUE!</v>
      </c>
      <c r="H35">
        <f>karatsube_range_100_5000[[#This Row],[Schoolbook_ns]]/1000000</f>
        <v>63.182600000000001</v>
      </c>
      <c r="I35">
        <f>karatsube_range_100_5000[[#This Row],[Pure_Karatsuba_ns]]/1000000</f>
        <v>700.32590000000005</v>
      </c>
      <c r="J35">
        <f>karatsube_range_100_5000[[#This Row],[Hybrid_Karatsuba_ns]]/1000000</f>
        <v>28.117999999999999</v>
      </c>
      <c r="K35">
        <f>karatsube_range_100_5000[[#This Row],[Pure_Karatsuba_ns]]/karatsube_range_100_5000[[#This Row],[Schoolbook_ns]]</f>
        <v>11.084157663660564</v>
      </c>
      <c r="L35">
        <f>karatsube_range_100_5000[[#This Row],[Hybrid_Karatsuba_ns]]/karatsube_range_100_5000[[#This Row],[Schoolbook_ns]]</f>
        <v>0.445027586708999</v>
      </c>
      <c r="M35" t="s">
        <v>8</v>
      </c>
    </row>
    <row r="36" spans="1:13" x14ac:dyDescent="0.35">
      <c r="A36">
        <v>3500</v>
      </c>
      <c r="B36">
        <v>32</v>
      </c>
      <c r="C36" t="s">
        <v>7</v>
      </c>
      <c r="D36">
        <v>68329450</v>
      </c>
      <c r="E36">
        <v>729163700</v>
      </c>
      <c r="F36">
        <v>29114675</v>
      </c>
      <c r="G36" t="e">
        <f>karatsube_range_100_5000[[#This Row],[Native_ns]]/1000000</f>
        <v>#VALUE!</v>
      </c>
      <c r="H36">
        <f>karatsube_range_100_5000[[#This Row],[Schoolbook_ns]]/1000000</f>
        <v>68.329449999999994</v>
      </c>
      <c r="I36">
        <f>karatsube_range_100_5000[[#This Row],[Pure_Karatsuba_ns]]/1000000</f>
        <v>729.16369999999995</v>
      </c>
      <c r="J36">
        <f>karatsube_range_100_5000[[#This Row],[Hybrid_Karatsuba_ns]]/1000000</f>
        <v>29.114674999999998</v>
      </c>
      <c r="K36">
        <f>karatsube_range_100_5000[[#This Row],[Pure_Karatsuba_ns]]/karatsube_range_100_5000[[#This Row],[Schoolbook_ns]]</f>
        <v>10.671294734554428</v>
      </c>
      <c r="L36">
        <f>karatsube_range_100_5000[[#This Row],[Hybrid_Karatsuba_ns]]/karatsube_range_100_5000[[#This Row],[Schoolbook_ns]]</f>
        <v>0.42609262916648677</v>
      </c>
      <c r="M36" t="s">
        <v>8</v>
      </c>
    </row>
    <row r="37" spans="1:13" x14ac:dyDescent="0.35">
      <c r="A37">
        <v>3600</v>
      </c>
      <c r="B37">
        <v>32</v>
      </c>
      <c r="C37" t="s">
        <v>7</v>
      </c>
      <c r="D37">
        <v>75565600</v>
      </c>
      <c r="E37">
        <v>743033900</v>
      </c>
      <c r="F37">
        <v>32631900</v>
      </c>
      <c r="G37" t="e">
        <f>karatsube_range_100_5000[[#This Row],[Native_ns]]/1000000</f>
        <v>#VALUE!</v>
      </c>
      <c r="H37">
        <f>karatsube_range_100_5000[[#This Row],[Schoolbook_ns]]/1000000</f>
        <v>75.565600000000003</v>
      </c>
      <c r="I37">
        <f>karatsube_range_100_5000[[#This Row],[Pure_Karatsuba_ns]]/1000000</f>
        <v>743.03390000000002</v>
      </c>
      <c r="J37">
        <f>karatsube_range_100_5000[[#This Row],[Hybrid_Karatsuba_ns]]/1000000</f>
        <v>32.631900000000002</v>
      </c>
      <c r="K37">
        <f>karatsube_range_100_5000[[#This Row],[Pure_Karatsuba_ns]]/karatsube_range_100_5000[[#This Row],[Schoolbook_ns]]</f>
        <v>9.8329649999470661</v>
      </c>
      <c r="L37">
        <f>karatsube_range_100_5000[[#This Row],[Hybrid_Karatsuba_ns]]/karatsube_range_100_5000[[#This Row],[Schoolbook_ns]]</f>
        <v>0.43183538541346855</v>
      </c>
      <c r="M37" t="s">
        <v>8</v>
      </c>
    </row>
    <row r="38" spans="1:13" x14ac:dyDescent="0.35">
      <c r="A38">
        <v>3700</v>
      </c>
      <c r="B38">
        <v>32</v>
      </c>
      <c r="C38" t="s">
        <v>7</v>
      </c>
      <c r="D38">
        <v>77019350</v>
      </c>
      <c r="E38">
        <v>769610100</v>
      </c>
      <c r="F38">
        <v>31146850</v>
      </c>
      <c r="G38" t="e">
        <f>karatsube_range_100_5000[[#This Row],[Native_ns]]/1000000</f>
        <v>#VALUE!</v>
      </c>
      <c r="H38">
        <f>karatsube_range_100_5000[[#This Row],[Schoolbook_ns]]/1000000</f>
        <v>77.019350000000003</v>
      </c>
      <c r="I38">
        <f>karatsube_range_100_5000[[#This Row],[Pure_Karatsuba_ns]]/1000000</f>
        <v>769.61009999999999</v>
      </c>
      <c r="J38">
        <f>karatsube_range_100_5000[[#This Row],[Hybrid_Karatsuba_ns]]/1000000</f>
        <v>31.146850000000001</v>
      </c>
      <c r="K38">
        <f>karatsube_range_100_5000[[#This Row],[Pure_Karatsuba_ns]]/karatsube_range_100_5000[[#This Row],[Schoolbook_ns]]</f>
        <v>9.9924252801406404</v>
      </c>
      <c r="L38">
        <f>karatsube_range_100_5000[[#This Row],[Hybrid_Karatsuba_ns]]/karatsube_range_100_5000[[#This Row],[Schoolbook_ns]]</f>
        <v>0.40440291952606716</v>
      </c>
      <c r="M38" t="s">
        <v>8</v>
      </c>
    </row>
    <row r="39" spans="1:13" x14ac:dyDescent="0.35">
      <c r="A39">
        <v>3800</v>
      </c>
      <c r="B39">
        <v>32</v>
      </c>
      <c r="C39" t="s">
        <v>7</v>
      </c>
      <c r="D39">
        <v>81215850</v>
      </c>
      <c r="E39">
        <v>800204600</v>
      </c>
      <c r="F39">
        <v>33649825</v>
      </c>
      <c r="G39" t="e">
        <f>karatsube_range_100_5000[[#This Row],[Native_ns]]/1000000</f>
        <v>#VALUE!</v>
      </c>
      <c r="H39">
        <f>karatsube_range_100_5000[[#This Row],[Schoolbook_ns]]/1000000</f>
        <v>81.215850000000003</v>
      </c>
      <c r="I39">
        <f>karatsube_range_100_5000[[#This Row],[Pure_Karatsuba_ns]]/1000000</f>
        <v>800.20460000000003</v>
      </c>
      <c r="J39">
        <f>karatsube_range_100_5000[[#This Row],[Hybrid_Karatsuba_ns]]/1000000</f>
        <v>33.649825</v>
      </c>
      <c r="K39">
        <f>karatsube_range_100_5000[[#This Row],[Pure_Karatsuba_ns]]/karatsube_range_100_5000[[#This Row],[Schoolbook_ns]]</f>
        <v>9.8528132131843726</v>
      </c>
      <c r="L39">
        <f>karatsube_range_100_5000[[#This Row],[Hybrid_Karatsuba_ns]]/karatsube_range_100_5000[[#This Row],[Schoolbook_ns]]</f>
        <v>0.41432583664395556</v>
      </c>
      <c r="M39" t="s">
        <v>8</v>
      </c>
    </row>
    <row r="40" spans="1:13" x14ac:dyDescent="0.35">
      <c r="A40">
        <v>3900</v>
      </c>
      <c r="B40">
        <v>32</v>
      </c>
      <c r="C40" t="s">
        <v>7</v>
      </c>
      <c r="D40">
        <v>86589150</v>
      </c>
      <c r="E40">
        <v>874421000</v>
      </c>
      <c r="F40">
        <v>35632575</v>
      </c>
      <c r="G40" t="e">
        <f>karatsube_range_100_5000[[#This Row],[Native_ns]]/1000000</f>
        <v>#VALUE!</v>
      </c>
      <c r="H40">
        <f>karatsube_range_100_5000[[#This Row],[Schoolbook_ns]]/1000000</f>
        <v>86.589150000000004</v>
      </c>
      <c r="I40">
        <f>karatsube_range_100_5000[[#This Row],[Pure_Karatsuba_ns]]/1000000</f>
        <v>874.42100000000005</v>
      </c>
      <c r="J40">
        <f>karatsube_range_100_5000[[#This Row],[Hybrid_Karatsuba_ns]]/1000000</f>
        <v>35.632575000000003</v>
      </c>
      <c r="K40">
        <f>karatsube_range_100_5000[[#This Row],[Pure_Karatsuba_ns]]/karatsube_range_100_5000[[#This Row],[Schoolbook_ns]]</f>
        <v>10.098505413207082</v>
      </c>
      <c r="L40">
        <f>karatsube_range_100_5000[[#This Row],[Hybrid_Karatsuba_ns]]/karatsube_range_100_5000[[#This Row],[Schoolbook_ns]]</f>
        <v>0.41151316302331181</v>
      </c>
      <c r="M40" t="s">
        <v>8</v>
      </c>
    </row>
    <row r="41" spans="1:13" x14ac:dyDescent="0.35">
      <c r="A41">
        <v>4000</v>
      </c>
      <c r="B41">
        <v>32</v>
      </c>
      <c r="C41" t="s">
        <v>7</v>
      </c>
      <c r="D41">
        <v>90430050</v>
      </c>
      <c r="E41">
        <v>887880700</v>
      </c>
      <c r="F41">
        <v>34048250</v>
      </c>
      <c r="G41" t="e">
        <f>karatsube_range_100_5000[[#This Row],[Native_ns]]/1000000</f>
        <v>#VALUE!</v>
      </c>
      <c r="H41">
        <f>karatsube_range_100_5000[[#This Row],[Schoolbook_ns]]/1000000</f>
        <v>90.430049999999994</v>
      </c>
      <c r="I41">
        <f>karatsube_range_100_5000[[#This Row],[Pure_Karatsuba_ns]]/1000000</f>
        <v>887.88070000000005</v>
      </c>
      <c r="J41">
        <f>karatsube_range_100_5000[[#This Row],[Hybrid_Karatsuba_ns]]/1000000</f>
        <v>34.048250000000003</v>
      </c>
      <c r="K41">
        <f>karatsube_range_100_5000[[#This Row],[Pure_Karatsuba_ns]]/karatsube_range_100_5000[[#This Row],[Schoolbook_ns]]</f>
        <v>9.8184254017331636</v>
      </c>
      <c r="L41">
        <f>karatsube_range_100_5000[[#This Row],[Hybrid_Karatsuba_ns]]/karatsube_range_100_5000[[#This Row],[Schoolbook_ns]]</f>
        <v>0.37651477578526166</v>
      </c>
      <c r="M41" t="s">
        <v>8</v>
      </c>
    </row>
    <row r="42" spans="1:13" x14ac:dyDescent="0.35">
      <c r="A42">
        <v>4100</v>
      </c>
      <c r="B42">
        <v>32</v>
      </c>
      <c r="C42" t="s">
        <v>7</v>
      </c>
      <c r="D42">
        <v>92477650</v>
      </c>
      <c r="E42">
        <v>897947200</v>
      </c>
      <c r="F42">
        <v>41821050</v>
      </c>
      <c r="G42" t="e">
        <f>karatsube_range_100_5000[[#This Row],[Native_ns]]/1000000</f>
        <v>#VALUE!</v>
      </c>
      <c r="H42">
        <f>karatsube_range_100_5000[[#This Row],[Schoolbook_ns]]/1000000</f>
        <v>92.477649999999997</v>
      </c>
      <c r="I42">
        <f>karatsube_range_100_5000[[#This Row],[Pure_Karatsuba_ns]]/1000000</f>
        <v>897.94719999999995</v>
      </c>
      <c r="J42">
        <f>karatsube_range_100_5000[[#This Row],[Hybrid_Karatsuba_ns]]/1000000</f>
        <v>41.82105</v>
      </c>
      <c r="K42">
        <f>karatsube_range_100_5000[[#This Row],[Pure_Karatsuba_ns]]/karatsube_range_100_5000[[#This Row],[Schoolbook_ns]]</f>
        <v>9.7098834150738043</v>
      </c>
      <c r="L42">
        <f>karatsube_range_100_5000[[#This Row],[Hybrid_Karatsuba_ns]]/karatsube_range_100_5000[[#This Row],[Schoolbook_ns]]</f>
        <v>0.45222872769798972</v>
      </c>
      <c r="M42" t="s">
        <v>8</v>
      </c>
    </row>
    <row r="43" spans="1:13" x14ac:dyDescent="0.35">
      <c r="A43">
        <v>4200</v>
      </c>
      <c r="B43">
        <v>32</v>
      </c>
      <c r="C43" t="s">
        <v>7</v>
      </c>
      <c r="D43">
        <v>96967550</v>
      </c>
      <c r="E43">
        <v>1045811200</v>
      </c>
      <c r="F43">
        <v>51540800</v>
      </c>
      <c r="G43" t="e">
        <f>karatsube_range_100_5000[[#This Row],[Native_ns]]/1000000</f>
        <v>#VALUE!</v>
      </c>
      <c r="H43">
        <f>karatsube_range_100_5000[[#This Row],[Schoolbook_ns]]/1000000</f>
        <v>96.967550000000003</v>
      </c>
      <c r="I43">
        <f>karatsube_range_100_5000[[#This Row],[Pure_Karatsuba_ns]]/1000000</f>
        <v>1045.8112000000001</v>
      </c>
      <c r="J43">
        <f>karatsube_range_100_5000[[#This Row],[Hybrid_Karatsuba_ns]]/1000000</f>
        <v>51.540799999999997</v>
      </c>
      <c r="K43">
        <f>karatsube_range_100_5000[[#This Row],[Pure_Karatsuba_ns]]/karatsube_range_100_5000[[#This Row],[Schoolbook_ns]]</f>
        <v>10.785166790333466</v>
      </c>
      <c r="L43">
        <f>karatsube_range_100_5000[[#This Row],[Hybrid_Karatsuba_ns]]/karatsube_range_100_5000[[#This Row],[Schoolbook_ns]]</f>
        <v>0.53152626832378458</v>
      </c>
      <c r="M43" t="s">
        <v>8</v>
      </c>
    </row>
    <row r="44" spans="1:13" x14ac:dyDescent="0.35">
      <c r="A44">
        <v>4300</v>
      </c>
      <c r="B44">
        <v>32</v>
      </c>
      <c r="C44" t="s">
        <v>7</v>
      </c>
      <c r="D44">
        <v>100468800</v>
      </c>
      <c r="E44">
        <v>1035636400</v>
      </c>
      <c r="F44">
        <v>52928700</v>
      </c>
      <c r="G44" t="e">
        <f>karatsube_range_100_5000[[#This Row],[Native_ns]]/1000000</f>
        <v>#VALUE!</v>
      </c>
      <c r="H44">
        <f>karatsube_range_100_5000[[#This Row],[Schoolbook_ns]]/1000000</f>
        <v>100.4688</v>
      </c>
      <c r="I44">
        <f>karatsube_range_100_5000[[#This Row],[Pure_Karatsuba_ns]]/1000000</f>
        <v>1035.6364000000001</v>
      </c>
      <c r="J44">
        <f>karatsube_range_100_5000[[#This Row],[Hybrid_Karatsuba_ns]]/1000000</f>
        <v>52.928699999999999</v>
      </c>
      <c r="K44">
        <f>karatsube_range_100_5000[[#This Row],[Pure_Karatsuba_ns]]/karatsube_range_100_5000[[#This Row],[Schoolbook_ns]]</f>
        <v>10.308039908907043</v>
      </c>
      <c r="L44">
        <f>karatsube_range_100_5000[[#This Row],[Hybrid_Karatsuba_ns]]/karatsube_range_100_5000[[#This Row],[Schoolbook_ns]]</f>
        <v>0.52681728058860067</v>
      </c>
      <c r="M44" t="s">
        <v>8</v>
      </c>
    </row>
    <row r="45" spans="1:13" x14ac:dyDescent="0.35">
      <c r="A45">
        <v>4400</v>
      </c>
      <c r="B45">
        <v>32</v>
      </c>
      <c r="C45" t="s">
        <v>7</v>
      </c>
      <c r="D45">
        <v>105444000</v>
      </c>
      <c r="E45">
        <v>1089900800</v>
      </c>
      <c r="F45">
        <v>53370900</v>
      </c>
      <c r="G45" t="e">
        <f>karatsube_range_100_5000[[#This Row],[Native_ns]]/1000000</f>
        <v>#VALUE!</v>
      </c>
      <c r="H45">
        <f>karatsube_range_100_5000[[#This Row],[Schoolbook_ns]]/1000000</f>
        <v>105.444</v>
      </c>
      <c r="I45">
        <f>karatsube_range_100_5000[[#This Row],[Pure_Karatsuba_ns]]/1000000</f>
        <v>1089.9007999999999</v>
      </c>
      <c r="J45">
        <f>karatsube_range_100_5000[[#This Row],[Hybrid_Karatsuba_ns]]/1000000</f>
        <v>53.370899999999999</v>
      </c>
      <c r="K45">
        <f>karatsube_range_100_5000[[#This Row],[Pure_Karatsuba_ns]]/karatsube_range_100_5000[[#This Row],[Schoolbook_ns]]</f>
        <v>10.33629983688024</v>
      </c>
      <c r="L45">
        <f>karatsube_range_100_5000[[#This Row],[Hybrid_Karatsuba_ns]]/karatsube_range_100_5000[[#This Row],[Schoolbook_ns]]</f>
        <v>0.5061539774667122</v>
      </c>
      <c r="M45" t="s">
        <v>8</v>
      </c>
    </row>
    <row r="46" spans="1:13" x14ac:dyDescent="0.35">
      <c r="A46">
        <v>4500</v>
      </c>
      <c r="B46">
        <v>32</v>
      </c>
      <c r="C46" t="s">
        <v>7</v>
      </c>
      <c r="D46">
        <v>110033300</v>
      </c>
      <c r="E46">
        <v>1134462900</v>
      </c>
      <c r="F46">
        <v>55365250</v>
      </c>
      <c r="G46" t="e">
        <f>karatsube_range_100_5000[[#This Row],[Native_ns]]/1000000</f>
        <v>#VALUE!</v>
      </c>
      <c r="H46">
        <f>karatsube_range_100_5000[[#This Row],[Schoolbook_ns]]/1000000</f>
        <v>110.0333</v>
      </c>
      <c r="I46">
        <f>karatsube_range_100_5000[[#This Row],[Pure_Karatsuba_ns]]/1000000</f>
        <v>1134.4629</v>
      </c>
      <c r="J46">
        <f>karatsube_range_100_5000[[#This Row],[Hybrid_Karatsuba_ns]]/1000000</f>
        <v>55.365250000000003</v>
      </c>
      <c r="K46">
        <f>karatsube_range_100_5000[[#This Row],[Pure_Karatsuba_ns]]/karatsube_range_100_5000[[#This Row],[Schoolbook_ns]]</f>
        <v>10.31017791886638</v>
      </c>
      <c r="L46">
        <f>karatsube_range_100_5000[[#This Row],[Hybrid_Karatsuba_ns]]/karatsube_range_100_5000[[#This Row],[Schoolbook_ns]]</f>
        <v>0.50316813182918263</v>
      </c>
      <c r="M46" t="s">
        <v>8</v>
      </c>
    </row>
    <row r="47" spans="1:13" x14ac:dyDescent="0.35">
      <c r="A47">
        <v>4600</v>
      </c>
      <c r="B47">
        <v>32</v>
      </c>
      <c r="C47" t="s">
        <v>7</v>
      </c>
      <c r="D47">
        <v>115461400</v>
      </c>
      <c r="E47">
        <v>1158275200</v>
      </c>
      <c r="F47">
        <v>56454700</v>
      </c>
      <c r="G47" t="e">
        <f>karatsube_range_100_5000[[#This Row],[Native_ns]]/1000000</f>
        <v>#VALUE!</v>
      </c>
      <c r="H47">
        <f>karatsube_range_100_5000[[#This Row],[Schoolbook_ns]]/1000000</f>
        <v>115.4614</v>
      </c>
      <c r="I47">
        <f>karatsube_range_100_5000[[#This Row],[Pure_Karatsuba_ns]]/1000000</f>
        <v>1158.2752</v>
      </c>
      <c r="J47">
        <f>karatsube_range_100_5000[[#This Row],[Hybrid_Karatsuba_ns]]/1000000</f>
        <v>56.454700000000003</v>
      </c>
      <c r="K47">
        <f>karatsube_range_100_5000[[#This Row],[Pure_Karatsuba_ns]]/karatsube_range_100_5000[[#This Row],[Schoolbook_ns]]</f>
        <v>10.031709298518813</v>
      </c>
      <c r="L47">
        <f>karatsube_range_100_5000[[#This Row],[Hybrid_Karatsuba_ns]]/karatsube_range_100_5000[[#This Row],[Schoolbook_ns]]</f>
        <v>0.48894868761334959</v>
      </c>
      <c r="M47" t="s">
        <v>8</v>
      </c>
    </row>
    <row r="48" spans="1:13" x14ac:dyDescent="0.35">
      <c r="A48">
        <v>4700</v>
      </c>
      <c r="B48">
        <v>32</v>
      </c>
      <c r="C48" t="s">
        <v>7</v>
      </c>
      <c r="D48">
        <v>120159500</v>
      </c>
      <c r="E48">
        <v>1260234800</v>
      </c>
      <c r="F48">
        <v>57380650</v>
      </c>
      <c r="G48" t="e">
        <f>karatsube_range_100_5000[[#This Row],[Native_ns]]/1000000</f>
        <v>#VALUE!</v>
      </c>
      <c r="H48">
        <f>karatsube_range_100_5000[[#This Row],[Schoolbook_ns]]/1000000</f>
        <v>120.15949999999999</v>
      </c>
      <c r="I48">
        <f>karatsube_range_100_5000[[#This Row],[Pure_Karatsuba_ns]]/1000000</f>
        <v>1260.2348</v>
      </c>
      <c r="J48">
        <f>karatsube_range_100_5000[[#This Row],[Hybrid_Karatsuba_ns]]/1000000</f>
        <v>57.380650000000003</v>
      </c>
      <c r="K48">
        <f>karatsube_range_100_5000[[#This Row],[Pure_Karatsuba_ns]]/karatsube_range_100_5000[[#This Row],[Schoolbook_ns]]</f>
        <v>10.488016344941515</v>
      </c>
      <c r="L48">
        <f>karatsube_range_100_5000[[#This Row],[Hybrid_Karatsuba_ns]]/karatsube_range_100_5000[[#This Row],[Schoolbook_ns]]</f>
        <v>0.4775373565968567</v>
      </c>
      <c r="M48" t="s">
        <v>8</v>
      </c>
    </row>
    <row r="49" spans="1:13" x14ac:dyDescent="0.35">
      <c r="A49">
        <v>4800</v>
      </c>
      <c r="B49">
        <v>32</v>
      </c>
      <c r="C49" t="s">
        <v>7</v>
      </c>
      <c r="D49">
        <v>124638600</v>
      </c>
      <c r="E49">
        <v>1268555200</v>
      </c>
      <c r="F49">
        <v>58128700</v>
      </c>
      <c r="G49" t="e">
        <f>karatsube_range_100_5000[[#This Row],[Native_ns]]/1000000</f>
        <v>#VALUE!</v>
      </c>
      <c r="H49">
        <f>karatsube_range_100_5000[[#This Row],[Schoolbook_ns]]/1000000</f>
        <v>124.6386</v>
      </c>
      <c r="I49">
        <f>karatsube_range_100_5000[[#This Row],[Pure_Karatsuba_ns]]/1000000</f>
        <v>1268.5552</v>
      </c>
      <c r="J49">
        <f>karatsube_range_100_5000[[#This Row],[Hybrid_Karatsuba_ns]]/1000000</f>
        <v>58.128700000000002</v>
      </c>
      <c r="K49">
        <f>karatsube_range_100_5000[[#This Row],[Pure_Karatsuba_ns]]/karatsube_range_100_5000[[#This Row],[Schoolbook_ns]]</f>
        <v>10.17786785153235</v>
      </c>
      <c r="L49">
        <f>karatsube_range_100_5000[[#This Row],[Hybrid_Karatsuba_ns]]/karatsube_range_100_5000[[#This Row],[Schoolbook_ns]]</f>
        <v>0.46637799205061675</v>
      </c>
      <c r="M49" t="s">
        <v>8</v>
      </c>
    </row>
    <row r="50" spans="1:13" x14ac:dyDescent="0.35">
      <c r="A50">
        <v>4900</v>
      </c>
      <c r="B50">
        <v>32</v>
      </c>
      <c r="C50" t="s">
        <v>7</v>
      </c>
      <c r="D50">
        <v>130195900</v>
      </c>
      <c r="E50">
        <v>1294966000</v>
      </c>
      <c r="F50">
        <v>59601850</v>
      </c>
      <c r="G50" t="e">
        <f>karatsube_range_100_5000[[#This Row],[Native_ns]]/1000000</f>
        <v>#VALUE!</v>
      </c>
      <c r="H50">
        <f>karatsube_range_100_5000[[#This Row],[Schoolbook_ns]]/1000000</f>
        <v>130.19589999999999</v>
      </c>
      <c r="I50">
        <f>karatsube_range_100_5000[[#This Row],[Pure_Karatsuba_ns]]/1000000</f>
        <v>1294.9659999999999</v>
      </c>
      <c r="J50">
        <f>karatsube_range_100_5000[[#This Row],[Hybrid_Karatsuba_ns]]/1000000</f>
        <v>59.601849999999999</v>
      </c>
      <c r="K50">
        <f>karatsube_range_100_5000[[#This Row],[Pure_Karatsuba_ns]]/karatsube_range_100_5000[[#This Row],[Schoolbook_ns]]</f>
        <v>9.9462886312088177</v>
      </c>
      <c r="L50">
        <f>karatsube_range_100_5000[[#This Row],[Hybrid_Karatsuba_ns]]/karatsube_range_100_5000[[#This Row],[Schoolbook_ns]]</f>
        <v>0.45778592106203037</v>
      </c>
      <c r="M50" t="s">
        <v>8</v>
      </c>
    </row>
    <row r="51" spans="1:13" x14ac:dyDescent="0.35">
      <c r="A51">
        <v>5000</v>
      </c>
      <c r="B51">
        <v>32</v>
      </c>
      <c r="C51" t="s">
        <v>7</v>
      </c>
      <c r="D51">
        <v>135707600</v>
      </c>
      <c r="E51">
        <v>1334126800</v>
      </c>
      <c r="F51">
        <v>61045450</v>
      </c>
      <c r="G51" t="e">
        <f>karatsube_range_100_5000[[#This Row],[Native_ns]]/1000000</f>
        <v>#VALUE!</v>
      </c>
      <c r="H51">
        <f>karatsube_range_100_5000[[#This Row],[Schoolbook_ns]]/1000000</f>
        <v>135.70760000000001</v>
      </c>
      <c r="I51">
        <f>karatsube_range_100_5000[[#This Row],[Pure_Karatsuba_ns]]/1000000</f>
        <v>1334.1268</v>
      </c>
      <c r="J51">
        <f>karatsube_range_100_5000[[#This Row],[Hybrid_Karatsuba_ns]]/1000000</f>
        <v>61.045450000000002</v>
      </c>
      <c r="K51">
        <f>karatsube_range_100_5000[[#This Row],[Pure_Karatsuba_ns]]/karatsube_range_100_5000[[#This Row],[Schoolbook_ns]]</f>
        <v>9.8308923007996611</v>
      </c>
      <c r="L51">
        <f>karatsube_range_100_5000[[#This Row],[Hybrid_Karatsuba_ns]]/karatsube_range_100_5000[[#This Row],[Schoolbook_ns]]</f>
        <v>0.44983073903009119</v>
      </c>
      <c r="M5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9E10-E93A-4C69-ABAD-F9A7AC617E5A}">
  <dimension ref="A1:M6"/>
  <sheetViews>
    <sheetView workbookViewId="0">
      <selection activeCell="H30" sqref="H30"/>
    </sheetView>
  </sheetViews>
  <sheetFormatPr defaultRowHeight="14.5" x14ac:dyDescent="0.35"/>
  <cols>
    <col min="1" max="1" width="7.90625" bestFit="1" customWidth="1"/>
    <col min="2" max="2" width="14.7265625" bestFit="1" customWidth="1"/>
    <col min="3" max="3" width="11.26953125" bestFit="1" customWidth="1"/>
    <col min="4" max="4" width="15.81640625" bestFit="1" customWidth="1"/>
    <col min="5" max="5" width="19.08984375" bestFit="1" customWidth="1"/>
    <col min="6" max="6" width="20.90625" bestFit="1" customWidth="1"/>
    <col min="7" max="7" width="14.08984375" bestFit="1" customWidth="1"/>
    <col min="8" max="8" width="18.6328125" bestFit="1" customWidth="1"/>
    <col min="9" max="9" width="17.26953125" bestFit="1" customWidth="1"/>
    <col min="10" max="10" width="14.26953125" bestFit="1" customWidth="1"/>
    <col min="11" max="11" width="11.81640625" bestFit="1" customWidth="1"/>
    <col min="12" max="12" width="13.3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27</v>
      </c>
      <c r="I1" t="s">
        <v>28</v>
      </c>
      <c r="J1" t="s">
        <v>29</v>
      </c>
      <c r="K1" t="s">
        <v>20</v>
      </c>
      <c r="L1" t="s">
        <v>21</v>
      </c>
      <c r="M1" t="s">
        <v>6</v>
      </c>
    </row>
    <row r="2" spans="1:13" x14ac:dyDescent="0.35">
      <c r="A2">
        <v>10</v>
      </c>
      <c r="B2">
        <v>32</v>
      </c>
      <c r="C2">
        <v>1.7310000000000001</v>
      </c>
      <c r="D2">
        <v>1350.902</v>
      </c>
      <c r="E2">
        <v>64081.836000000003</v>
      </c>
      <c r="F2">
        <v>1437.5550000000001</v>
      </c>
      <c r="G2">
        <f>karatsuba_exponential[[#This Row],[Native_ns]]/1000000</f>
        <v>1.731E-6</v>
      </c>
      <c r="H2">
        <f>karatsuba_exponential[[#This Row],[Schoolbook_ns]]/1000000</f>
        <v>1.350902E-3</v>
      </c>
      <c r="I2">
        <f>karatsuba_exponential[[#This Row],[Pure_Karatsuba_ns]]/1000000</f>
        <v>6.4081836000000003E-2</v>
      </c>
      <c r="J2">
        <f>karatsuba_exponential[[#This Row],[Hybrid_Karatsuba_ns]]/1000000</f>
        <v>1.4375550000000001E-3</v>
      </c>
      <c r="K2">
        <f>karatsuba_exponential[[#This Row],[Pure_Karatsuba_ns]]/karatsuba_exponential[[#This Row],[Schoolbook_ns]]</f>
        <v>47.436332169172893</v>
      </c>
      <c r="L2">
        <f>karatsuba_exponential[[#This Row],[Hybrid_Karatsuba_ns]]/karatsuba_exponential[[#This Row],[Schoolbook_ns]]</f>
        <v>1.0641445493455484</v>
      </c>
      <c r="M2" t="s">
        <v>8</v>
      </c>
    </row>
    <row r="3" spans="1:13" x14ac:dyDescent="0.35">
      <c r="A3">
        <v>100</v>
      </c>
      <c r="B3">
        <v>32</v>
      </c>
      <c r="D3">
        <v>58537.743999999999</v>
      </c>
      <c r="E3">
        <v>2623121.875</v>
      </c>
      <c r="F3">
        <v>84677.294999999998</v>
      </c>
      <c r="G3">
        <f>karatsuba_exponential[[#This Row],[Native_ns]]/1000000</f>
        <v>0</v>
      </c>
      <c r="H3">
        <f>karatsuba_exponential[[#This Row],[Schoolbook_ns]]/1000000</f>
        <v>5.8537743999999996E-2</v>
      </c>
      <c r="I3">
        <f>karatsuba_exponential[[#This Row],[Pure_Karatsuba_ns]]/1000000</f>
        <v>2.6231218749999998</v>
      </c>
      <c r="J3">
        <f>karatsuba_exponential[[#This Row],[Hybrid_Karatsuba_ns]]/1000000</f>
        <v>8.4677295E-2</v>
      </c>
      <c r="K3">
        <f>karatsuba_exponential[[#This Row],[Pure_Karatsuba_ns]]/karatsuba_exponential[[#This Row],[Schoolbook_ns]]</f>
        <v>44.810778409909339</v>
      </c>
      <c r="L3">
        <f>karatsuba_exponential[[#This Row],[Hybrid_Karatsuba_ns]]/karatsuba_exponential[[#This Row],[Schoolbook_ns]]</f>
        <v>1.4465418243654897</v>
      </c>
      <c r="M3" t="s">
        <v>8</v>
      </c>
    </row>
    <row r="4" spans="1:13" x14ac:dyDescent="0.35">
      <c r="A4">
        <v>1000</v>
      </c>
      <c r="B4">
        <v>32</v>
      </c>
      <c r="D4">
        <v>5454400</v>
      </c>
      <c r="E4">
        <v>96111500</v>
      </c>
      <c r="F4">
        <v>3665993.75</v>
      </c>
      <c r="G4">
        <f>karatsuba_exponential[[#This Row],[Native_ns]]/1000000</f>
        <v>0</v>
      </c>
      <c r="H4">
        <f>karatsuba_exponential[[#This Row],[Schoolbook_ns]]/1000000</f>
        <v>5.4543999999999997</v>
      </c>
      <c r="I4">
        <f>karatsuba_exponential[[#This Row],[Pure_Karatsuba_ns]]/1000000</f>
        <v>96.111500000000007</v>
      </c>
      <c r="J4">
        <f>karatsuba_exponential[[#This Row],[Hybrid_Karatsuba_ns]]/1000000</f>
        <v>3.6659937500000002</v>
      </c>
      <c r="K4">
        <f>karatsuba_exponential[[#This Row],[Pure_Karatsuba_ns]]/karatsuba_exponential[[#This Row],[Schoolbook_ns]]</f>
        <v>17.620911557641538</v>
      </c>
      <c r="L4">
        <f>karatsuba_exponential[[#This Row],[Hybrid_Karatsuba_ns]]/karatsuba_exponential[[#This Row],[Schoolbook_ns]]</f>
        <v>0.6721167772807275</v>
      </c>
      <c r="M4" t="s">
        <v>8</v>
      </c>
    </row>
    <row r="5" spans="1:13" x14ac:dyDescent="0.35">
      <c r="A5">
        <v>10000</v>
      </c>
      <c r="B5">
        <v>32</v>
      </c>
      <c r="D5">
        <v>546595100</v>
      </c>
      <c r="E5">
        <v>4102935100</v>
      </c>
      <c r="F5">
        <v>184500800</v>
      </c>
      <c r="G5">
        <f>karatsuba_exponential[[#This Row],[Native_ns]]/1000000</f>
        <v>0</v>
      </c>
      <c r="H5">
        <f>karatsuba_exponential[[#This Row],[Schoolbook_ns]]/1000000</f>
        <v>546.5951</v>
      </c>
      <c r="I5">
        <f>karatsuba_exponential[[#This Row],[Pure_Karatsuba_ns]]/1000000</f>
        <v>4102.9350999999997</v>
      </c>
      <c r="J5">
        <f>karatsuba_exponential[[#This Row],[Hybrid_Karatsuba_ns]]/1000000</f>
        <v>184.5008</v>
      </c>
      <c r="K5">
        <f>karatsuba_exponential[[#This Row],[Pure_Karatsuba_ns]]/karatsuba_exponential[[#This Row],[Schoolbook_ns]]</f>
        <v>7.506351776662469</v>
      </c>
      <c r="L5">
        <f>karatsuba_exponential[[#This Row],[Hybrid_Karatsuba_ns]]/karatsuba_exponential[[#This Row],[Schoolbook_ns]]</f>
        <v>0.33754565308031487</v>
      </c>
      <c r="M5" t="s">
        <v>8</v>
      </c>
    </row>
    <row r="6" spans="1:13" x14ac:dyDescent="0.35">
      <c r="A6">
        <v>100000</v>
      </c>
      <c r="B6">
        <v>32</v>
      </c>
      <c r="D6">
        <v>54822473400</v>
      </c>
      <c r="E6">
        <v>149496271600</v>
      </c>
      <c r="F6">
        <v>6368847600</v>
      </c>
      <c r="G6">
        <f>karatsuba_exponential[[#This Row],[Native_ns]]/1000000</f>
        <v>0</v>
      </c>
      <c r="H6">
        <f>karatsuba_exponential[[#This Row],[Schoolbook_ns]]/1000000</f>
        <v>54822.473400000003</v>
      </c>
      <c r="I6">
        <f>karatsuba_exponential[[#This Row],[Pure_Karatsuba_ns]]/1000000</f>
        <v>149496.27160000001</v>
      </c>
      <c r="J6">
        <f>karatsuba_exponential[[#This Row],[Hybrid_Karatsuba_ns]]/1000000</f>
        <v>6368.8476000000001</v>
      </c>
      <c r="K6">
        <f>karatsuba_exponential[[#This Row],[Pure_Karatsuba_ns]]/karatsuba_exponential[[#This Row],[Schoolbook_ns]]</f>
        <v>2.7269158490758647</v>
      </c>
      <c r="L6">
        <f>karatsuba_exponential[[#This Row],[Hybrid_Karatsuba_ns]]/karatsuba_exponential[[#This Row],[Schoolbook_ns]]</f>
        <v>0.1161722046637903</v>
      </c>
      <c r="M6" t="s">
        <v>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84E9-C612-4174-8325-312E4C88693B}">
  <dimension ref="A1:N22"/>
  <sheetViews>
    <sheetView workbookViewId="0">
      <selection activeCell="L27" sqref="L27"/>
    </sheetView>
  </sheetViews>
  <sheetFormatPr defaultRowHeight="14.5" x14ac:dyDescent="0.35"/>
  <cols>
    <col min="1" max="1" width="15.26953125" bestFit="1" customWidth="1"/>
    <col min="2" max="2" width="7.90625" bestFit="1" customWidth="1"/>
    <col min="3" max="3" width="14.7265625" bestFit="1" customWidth="1"/>
    <col min="4" max="4" width="11.26953125" bestFit="1" customWidth="1"/>
    <col min="5" max="5" width="15.81640625" bestFit="1" customWidth="1"/>
    <col min="6" max="6" width="19.08984375" bestFit="1" customWidth="1"/>
    <col min="7" max="7" width="20.90625" bestFit="1" customWidth="1"/>
    <col min="8" max="8" width="14.08984375" bestFit="1" customWidth="1"/>
    <col min="9" max="9" width="18.6328125" bestFit="1" customWidth="1"/>
    <col min="10" max="10" width="17.26953125" bestFit="1" customWidth="1"/>
    <col min="11" max="11" width="14.26953125" bestFit="1" customWidth="1"/>
    <col min="12" max="12" width="11.81640625" bestFit="1" customWidth="1"/>
    <col min="13" max="13" width="13.36328125" bestFit="1" customWidth="1"/>
  </cols>
  <sheetData>
    <row r="1" spans="1:14" x14ac:dyDescent="0.3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26</v>
      </c>
      <c r="I1" t="s">
        <v>27</v>
      </c>
      <c r="J1" t="s">
        <v>28</v>
      </c>
      <c r="K1" t="s">
        <v>29</v>
      </c>
      <c r="L1" t="s">
        <v>20</v>
      </c>
      <c r="M1" t="s">
        <v>21</v>
      </c>
      <c r="N1" t="s">
        <v>6</v>
      </c>
    </row>
    <row r="2" spans="1:14" x14ac:dyDescent="0.35">
      <c r="A2" t="s">
        <v>10</v>
      </c>
      <c r="B2">
        <v>1000</v>
      </c>
      <c r="C2">
        <v>10</v>
      </c>
      <c r="D2" t="s">
        <v>7</v>
      </c>
      <c r="E2">
        <v>5416984.375</v>
      </c>
      <c r="F2">
        <v>94799550</v>
      </c>
      <c r="G2">
        <v>8541187.5</v>
      </c>
      <c r="H2" t="e">
        <f>cutofftesting[[#This Row],[Native_ns]]/1000000</f>
        <v>#VALUE!</v>
      </c>
      <c r="I2">
        <f>cutofftesting[[#This Row],[Schoolbook_ns]]/1000000</f>
        <v>5.4169843750000002</v>
      </c>
      <c r="J2">
        <f>cutofftesting[[#This Row],[Pure_Karatsuba_ns]]/1000000</f>
        <v>94.799549999999996</v>
      </c>
      <c r="K2">
        <f>cutofftesting[[#This Row],[Hybrid_Karatsuba_ns]]/1000000</f>
        <v>8.5411874999999995</v>
      </c>
      <c r="L2">
        <f>cutofftesting[[#This Row],[Pure_Karatsuba_ns]]/cutofftesting[[#This Row],[Schoolbook_ns]]</f>
        <v>17.500428917150053</v>
      </c>
      <c r="M2">
        <f>cutofftesting[[#This Row],[Hybrid_Karatsuba_ns]]/cutofftesting[[#This Row],[Schoolbook_ns]]</f>
        <v>1.576742133394099</v>
      </c>
      <c r="N2" t="s">
        <v>8</v>
      </c>
    </row>
    <row r="3" spans="1:14" x14ac:dyDescent="0.35">
      <c r="A3" t="s">
        <v>12</v>
      </c>
      <c r="B3">
        <v>1000</v>
      </c>
      <c r="C3">
        <v>20</v>
      </c>
      <c r="D3" t="s">
        <v>7</v>
      </c>
      <c r="E3">
        <v>5520296.875</v>
      </c>
      <c r="F3">
        <v>95842250</v>
      </c>
      <c r="G3">
        <v>5126946.875</v>
      </c>
      <c r="H3" t="e">
        <f>cutofftesting[[#This Row],[Native_ns]]/1000000</f>
        <v>#VALUE!</v>
      </c>
      <c r="I3">
        <f>cutofftesting[[#This Row],[Schoolbook_ns]]/1000000</f>
        <v>5.5202968749999997</v>
      </c>
      <c r="J3">
        <f>cutofftesting[[#This Row],[Pure_Karatsuba_ns]]/1000000</f>
        <v>95.842250000000007</v>
      </c>
      <c r="K3">
        <f>cutofftesting[[#This Row],[Hybrid_Karatsuba_ns]]/1000000</f>
        <v>5.1269468749999998</v>
      </c>
      <c r="L3">
        <f>cutofftesting[[#This Row],[Pure_Karatsuba_ns]]/cutofftesting[[#This Row],[Schoolbook_ns]]</f>
        <v>17.361792702498452</v>
      </c>
      <c r="M3">
        <f>cutofftesting[[#This Row],[Hybrid_Karatsuba_ns]]/cutofftesting[[#This Row],[Schoolbook_ns]]</f>
        <v>0.92874477425636637</v>
      </c>
      <c r="N3" t="s">
        <v>8</v>
      </c>
    </row>
    <row r="4" spans="1:14" x14ac:dyDescent="0.35">
      <c r="A4" t="s">
        <v>13</v>
      </c>
      <c r="B4">
        <v>1000</v>
      </c>
      <c r="C4">
        <v>30</v>
      </c>
      <c r="D4" t="s">
        <v>7</v>
      </c>
      <c r="E4">
        <v>5413206.25</v>
      </c>
      <c r="F4">
        <v>95446950</v>
      </c>
      <c r="G4">
        <v>5067512.5</v>
      </c>
      <c r="H4" t="e">
        <f>cutofftesting[[#This Row],[Native_ns]]/1000000</f>
        <v>#VALUE!</v>
      </c>
      <c r="I4">
        <f>cutofftesting[[#This Row],[Schoolbook_ns]]/1000000</f>
        <v>5.41320625</v>
      </c>
      <c r="J4">
        <f>cutofftesting[[#This Row],[Pure_Karatsuba_ns]]/1000000</f>
        <v>95.446950000000001</v>
      </c>
      <c r="K4">
        <f>cutofftesting[[#This Row],[Hybrid_Karatsuba_ns]]/1000000</f>
        <v>5.0675125000000003</v>
      </c>
      <c r="L4">
        <f>cutofftesting[[#This Row],[Pure_Karatsuba_ns]]/cutofftesting[[#This Row],[Schoolbook_ns]]</f>
        <v>17.632239673114245</v>
      </c>
      <c r="M4">
        <f>cutofftesting[[#This Row],[Hybrid_Karatsuba_ns]]/cutofftesting[[#This Row],[Schoolbook_ns]]</f>
        <v>0.93613881791405973</v>
      </c>
      <c r="N4" t="s">
        <v>8</v>
      </c>
    </row>
    <row r="5" spans="1:14" x14ac:dyDescent="0.35">
      <c r="A5" t="s">
        <v>14</v>
      </c>
      <c r="B5">
        <v>1000</v>
      </c>
      <c r="C5">
        <v>40</v>
      </c>
      <c r="D5" t="s">
        <v>7</v>
      </c>
      <c r="E5">
        <v>5415665.625</v>
      </c>
      <c r="F5">
        <v>94106800</v>
      </c>
      <c r="G5">
        <v>3604812.5</v>
      </c>
      <c r="H5" t="e">
        <f>cutofftesting[[#This Row],[Native_ns]]/1000000</f>
        <v>#VALUE!</v>
      </c>
      <c r="I5">
        <f>cutofftesting[[#This Row],[Schoolbook_ns]]/1000000</f>
        <v>5.4156656249999999</v>
      </c>
      <c r="J5">
        <f>cutofftesting[[#This Row],[Pure_Karatsuba_ns]]/1000000</f>
        <v>94.106800000000007</v>
      </c>
      <c r="K5">
        <f>cutofftesting[[#This Row],[Hybrid_Karatsuba_ns]]/1000000</f>
        <v>3.6048125</v>
      </c>
      <c r="L5">
        <f>cutofftesting[[#This Row],[Pure_Karatsuba_ns]]/cutofftesting[[#This Row],[Schoolbook_ns]]</f>
        <v>17.376774438506807</v>
      </c>
      <c r="M5">
        <f>cutofftesting[[#This Row],[Hybrid_Karatsuba_ns]]/cutofftesting[[#This Row],[Schoolbook_ns]]</f>
        <v>0.66562685911761765</v>
      </c>
      <c r="N5" t="s">
        <v>8</v>
      </c>
    </row>
    <row r="6" spans="1:14" x14ac:dyDescent="0.35">
      <c r="A6" t="s">
        <v>15</v>
      </c>
      <c r="B6">
        <v>1000</v>
      </c>
      <c r="C6">
        <v>50</v>
      </c>
      <c r="D6" t="s">
        <v>7</v>
      </c>
      <c r="E6">
        <v>5441712.5</v>
      </c>
      <c r="F6">
        <v>95566550</v>
      </c>
      <c r="G6">
        <v>3623496.875</v>
      </c>
      <c r="H6" t="e">
        <f>cutofftesting[[#This Row],[Native_ns]]/1000000</f>
        <v>#VALUE!</v>
      </c>
      <c r="I6">
        <f>cutofftesting[[#This Row],[Schoolbook_ns]]/1000000</f>
        <v>5.4417125000000004</v>
      </c>
      <c r="J6">
        <f>cutofftesting[[#This Row],[Pure_Karatsuba_ns]]/1000000</f>
        <v>95.566550000000007</v>
      </c>
      <c r="K6">
        <f>cutofftesting[[#This Row],[Hybrid_Karatsuba_ns]]/1000000</f>
        <v>3.6234968749999998</v>
      </c>
      <c r="L6">
        <f>cutofftesting[[#This Row],[Pure_Karatsuba_ns]]/cutofftesting[[#This Row],[Schoolbook_ns]]</f>
        <v>17.561852082409718</v>
      </c>
      <c r="M6">
        <f>cutofftesting[[#This Row],[Hybrid_Karatsuba_ns]]/cutofftesting[[#This Row],[Schoolbook_ns]]</f>
        <v>0.66587436859260751</v>
      </c>
      <c r="N6" t="s">
        <v>8</v>
      </c>
    </row>
    <row r="7" spans="1:14" x14ac:dyDescent="0.35">
      <c r="A7" t="s">
        <v>16</v>
      </c>
      <c r="B7">
        <v>1000</v>
      </c>
      <c r="C7">
        <v>60</v>
      </c>
      <c r="D7" t="s">
        <v>7</v>
      </c>
      <c r="E7">
        <v>5478553.125</v>
      </c>
      <c r="F7">
        <v>104186900</v>
      </c>
      <c r="G7">
        <v>3660312.5</v>
      </c>
      <c r="H7" t="e">
        <f>cutofftesting[[#This Row],[Native_ns]]/1000000</f>
        <v>#VALUE!</v>
      </c>
      <c r="I7">
        <f>cutofftesting[[#This Row],[Schoolbook_ns]]/1000000</f>
        <v>5.4785531250000004</v>
      </c>
      <c r="J7">
        <f>cutofftesting[[#This Row],[Pure_Karatsuba_ns]]/1000000</f>
        <v>104.18689999999999</v>
      </c>
      <c r="K7">
        <f>cutofftesting[[#This Row],[Hybrid_Karatsuba_ns]]/1000000</f>
        <v>3.6603124999999999</v>
      </c>
      <c r="L7">
        <f>cutofftesting[[#This Row],[Pure_Karatsuba_ns]]/cutofftesting[[#This Row],[Schoolbook_ns]]</f>
        <v>19.017229115579671</v>
      </c>
      <c r="M7">
        <f>cutofftesting[[#This Row],[Hybrid_Karatsuba_ns]]/cutofftesting[[#This Row],[Schoolbook_ns]]</f>
        <v>0.66811663891641093</v>
      </c>
      <c r="N7" t="s">
        <v>8</v>
      </c>
    </row>
    <row r="8" spans="1:14" x14ac:dyDescent="0.35">
      <c r="A8" t="s">
        <v>17</v>
      </c>
      <c r="B8">
        <v>1000</v>
      </c>
      <c r="C8">
        <v>70</v>
      </c>
      <c r="D8" t="s">
        <v>7</v>
      </c>
      <c r="E8">
        <v>5412018.75</v>
      </c>
      <c r="F8">
        <v>94386100</v>
      </c>
      <c r="G8">
        <v>2993675</v>
      </c>
      <c r="H8" t="e">
        <f>cutofftesting[[#This Row],[Native_ns]]/1000000</f>
        <v>#VALUE!</v>
      </c>
      <c r="I8">
        <f>cutofftesting[[#This Row],[Schoolbook_ns]]/1000000</f>
        <v>5.4120187499999997</v>
      </c>
      <c r="J8">
        <f>cutofftesting[[#This Row],[Pure_Karatsuba_ns]]/1000000</f>
        <v>94.386099999999999</v>
      </c>
      <c r="K8">
        <f>cutofftesting[[#This Row],[Hybrid_Karatsuba_ns]]/1000000</f>
        <v>2.9936750000000001</v>
      </c>
      <c r="L8">
        <f>cutofftesting[[#This Row],[Pure_Karatsuba_ns]]/cutofftesting[[#This Row],[Schoolbook_ns]]</f>
        <v>17.440091093549889</v>
      </c>
      <c r="M8">
        <f>cutofftesting[[#This Row],[Hybrid_Karatsuba_ns]]/cutofftesting[[#This Row],[Schoolbook_ns]]</f>
        <v>0.55315310945661456</v>
      </c>
      <c r="N8" t="s">
        <v>8</v>
      </c>
    </row>
    <row r="9" spans="1:14" x14ac:dyDescent="0.35">
      <c r="A9" t="s">
        <v>18</v>
      </c>
      <c r="B9">
        <v>1000</v>
      </c>
      <c r="C9">
        <v>80</v>
      </c>
      <c r="D9" t="s">
        <v>7</v>
      </c>
      <c r="E9">
        <v>5471900</v>
      </c>
      <c r="F9">
        <v>94151200</v>
      </c>
      <c r="G9">
        <v>3403459.375</v>
      </c>
      <c r="H9" t="e">
        <f>cutofftesting[[#This Row],[Native_ns]]/1000000</f>
        <v>#VALUE!</v>
      </c>
      <c r="I9">
        <f>cutofftesting[[#This Row],[Schoolbook_ns]]/1000000</f>
        <v>5.4718999999999998</v>
      </c>
      <c r="J9">
        <f>cutofftesting[[#This Row],[Pure_Karatsuba_ns]]/1000000</f>
        <v>94.151200000000003</v>
      </c>
      <c r="K9">
        <f>cutofftesting[[#This Row],[Hybrid_Karatsuba_ns]]/1000000</f>
        <v>3.4034593750000002</v>
      </c>
      <c r="L9">
        <f>cutofftesting[[#This Row],[Pure_Karatsuba_ns]]/cutofftesting[[#This Row],[Schoolbook_ns]]</f>
        <v>17.206308594820811</v>
      </c>
      <c r="M9">
        <f>cutofftesting[[#This Row],[Hybrid_Karatsuba_ns]]/cutofftesting[[#This Row],[Schoolbook_ns]]</f>
        <v>0.62198859171402987</v>
      </c>
      <c r="N9" t="s">
        <v>8</v>
      </c>
    </row>
    <row r="10" spans="1:14" x14ac:dyDescent="0.35">
      <c r="A10" t="s">
        <v>19</v>
      </c>
      <c r="B10">
        <v>1000</v>
      </c>
      <c r="C10">
        <v>90</v>
      </c>
      <c r="D10" t="s">
        <v>7</v>
      </c>
      <c r="E10">
        <v>5465353.125</v>
      </c>
      <c r="F10">
        <v>96122100</v>
      </c>
      <c r="G10">
        <v>3023876.5619999999</v>
      </c>
      <c r="H10" t="e">
        <f>cutofftesting[[#This Row],[Native_ns]]/1000000</f>
        <v>#VALUE!</v>
      </c>
      <c r="I10">
        <f>cutofftesting[[#This Row],[Schoolbook_ns]]/1000000</f>
        <v>5.465353125</v>
      </c>
      <c r="J10">
        <f>cutofftesting[[#This Row],[Pure_Karatsuba_ns]]/1000000</f>
        <v>96.122100000000003</v>
      </c>
      <c r="K10">
        <f>cutofftesting[[#This Row],[Hybrid_Karatsuba_ns]]/1000000</f>
        <v>3.0238765619999999</v>
      </c>
      <c r="L10">
        <f>cutofftesting[[#This Row],[Pure_Karatsuba_ns]]/cutofftesting[[#This Row],[Schoolbook_ns]]</f>
        <v>17.587536944376307</v>
      </c>
      <c r="M10">
        <f>cutofftesting[[#This Row],[Hybrid_Karatsuba_ns]]/cutofftesting[[#This Row],[Schoolbook_ns]]</f>
        <v>0.55328109508020118</v>
      </c>
      <c r="N10" t="s">
        <v>8</v>
      </c>
    </row>
    <row r="11" spans="1:14" x14ac:dyDescent="0.35">
      <c r="A11" t="s">
        <v>11</v>
      </c>
      <c r="B11">
        <v>1000</v>
      </c>
      <c r="C11">
        <v>100</v>
      </c>
      <c r="D11" t="s">
        <v>7</v>
      </c>
      <c r="E11">
        <v>5466825</v>
      </c>
      <c r="F11">
        <v>95208350</v>
      </c>
      <c r="G11">
        <v>2990184.375</v>
      </c>
      <c r="H11" t="e">
        <f>cutofftesting[[#This Row],[Native_ns]]/1000000</f>
        <v>#VALUE!</v>
      </c>
      <c r="I11">
        <f>cutofftesting[[#This Row],[Schoolbook_ns]]/1000000</f>
        <v>5.466825</v>
      </c>
      <c r="J11">
        <f>cutofftesting[[#This Row],[Pure_Karatsuba_ns]]/1000000</f>
        <v>95.208349999999996</v>
      </c>
      <c r="K11">
        <f>cutofftesting[[#This Row],[Hybrid_Karatsuba_ns]]/1000000</f>
        <v>2.9901843750000001</v>
      </c>
      <c r="L11">
        <f>cutofftesting[[#This Row],[Pure_Karatsuba_ns]]/cutofftesting[[#This Row],[Schoolbook_ns]]</f>
        <v>17.415657168466158</v>
      </c>
      <c r="M11">
        <f>cutofftesting[[#This Row],[Hybrid_Karatsuba_ns]]/cutofftesting[[#This Row],[Schoolbook_ns]]</f>
        <v>0.54696910455337422</v>
      </c>
      <c r="N11" t="s">
        <v>8</v>
      </c>
    </row>
    <row r="12" spans="1:14" x14ac:dyDescent="0.35">
      <c r="A12" s="1" t="s">
        <v>30</v>
      </c>
      <c r="B12">
        <v>1000</v>
      </c>
      <c r="C12">
        <v>110</v>
      </c>
      <c r="D12" t="s">
        <v>7</v>
      </c>
      <c r="E12">
        <v>5818665.625</v>
      </c>
      <c r="F12">
        <v>94548250</v>
      </c>
      <c r="G12">
        <v>3009846.875</v>
      </c>
      <c r="H12" s="1" t="e">
        <f>cutofftesting[[#This Row],[Native_ns]]/1000000</f>
        <v>#VALUE!</v>
      </c>
      <c r="I12" s="1">
        <f>cutofftesting[[#This Row],[Schoolbook_ns]]/1000000</f>
        <v>5.8186656250000004</v>
      </c>
      <c r="J12" s="1">
        <f>cutofftesting[[#This Row],[Pure_Karatsuba_ns]]/1000000</f>
        <v>94.548249999999996</v>
      </c>
      <c r="K12" s="1">
        <f>cutofftesting[[#This Row],[Hybrid_Karatsuba_ns]]/1000000</f>
        <v>3.009846875</v>
      </c>
      <c r="L12" s="1">
        <f>cutofftesting[[#This Row],[Pure_Karatsuba_ns]]/cutofftesting[[#This Row],[Schoolbook_ns]]</f>
        <v>16.249129283829571</v>
      </c>
      <c r="M12" s="1">
        <f>cutofftesting[[#This Row],[Hybrid_Karatsuba_ns]]/cutofftesting[[#This Row],[Schoolbook_ns]]</f>
        <v>0.51727441805010066</v>
      </c>
      <c r="N12" s="1" t="s">
        <v>8</v>
      </c>
    </row>
    <row r="13" spans="1:14" x14ac:dyDescent="0.35">
      <c r="A13" s="1" t="s">
        <v>31</v>
      </c>
      <c r="B13">
        <v>1000</v>
      </c>
      <c r="C13">
        <v>120</v>
      </c>
      <c r="D13" t="s">
        <v>7</v>
      </c>
      <c r="E13">
        <v>5463065.625</v>
      </c>
      <c r="F13">
        <v>92035800</v>
      </c>
      <c r="G13">
        <v>3129581.25</v>
      </c>
      <c r="H13" s="1" t="e">
        <f>cutofftesting[[#This Row],[Native_ns]]/1000000</f>
        <v>#VALUE!</v>
      </c>
      <c r="I13" s="1">
        <f>cutofftesting[[#This Row],[Schoolbook_ns]]/1000000</f>
        <v>5.4630656249999996</v>
      </c>
      <c r="J13" s="1">
        <f>cutofftesting[[#This Row],[Pure_Karatsuba_ns]]/1000000</f>
        <v>92.035799999999995</v>
      </c>
      <c r="K13" s="1">
        <f>cutofftesting[[#This Row],[Hybrid_Karatsuba_ns]]/1000000</f>
        <v>3.1295812500000002</v>
      </c>
      <c r="L13" s="1">
        <f>cutofftesting[[#This Row],[Pure_Karatsuba_ns]]/cutofftesting[[#This Row],[Schoolbook_ns]]</f>
        <v>16.846914592939747</v>
      </c>
      <c r="M13" s="1">
        <f>cutofftesting[[#This Row],[Hybrid_Karatsuba_ns]]/cutofftesting[[#This Row],[Schoolbook_ns]]</f>
        <v>0.57286173456867451</v>
      </c>
      <c r="N13" s="1" t="s">
        <v>8</v>
      </c>
    </row>
    <row r="14" spans="1:14" x14ac:dyDescent="0.35">
      <c r="A14" s="1" t="s">
        <v>32</v>
      </c>
      <c r="B14">
        <v>1000</v>
      </c>
      <c r="C14">
        <v>130</v>
      </c>
      <c r="D14" t="s">
        <v>7</v>
      </c>
      <c r="E14">
        <v>5470243.75</v>
      </c>
      <c r="F14">
        <v>92763850</v>
      </c>
      <c r="G14">
        <v>3112309.375</v>
      </c>
      <c r="H14" s="1" t="e">
        <f>cutofftesting[[#This Row],[Native_ns]]/1000000</f>
        <v>#VALUE!</v>
      </c>
      <c r="I14" s="1">
        <f>cutofftesting[[#This Row],[Schoolbook_ns]]/1000000</f>
        <v>5.4702437499999998</v>
      </c>
      <c r="J14" s="1">
        <f>cutofftesting[[#This Row],[Pure_Karatsuba_ns]]/1000000</f>
        <v>92.763850000000005</v>
      </c>
      <c r="K14" s="1">
        <f>cutofftesting[[#This Row],[Hybrid_Karatsuba_ns]]/1000000</f>
        <v>3.1123093750000002</v>
      </c>
      <c r="L14" s="1">
        <f>cutofftesting[[#This Row],[Pure_Karatsuba_ns]]/cutofftesting[[#This Row],[Schoolbook_ns]]</f>
        <v>16.957900641996073</v>
      </c>
      <c r="M14" s="1">
        <f>cutofftesting[[#This Row],[Hybrid_Karatsuba_ns]]/cutofftesting[[#This Row],[Schoolbook_ns]]</f>
        <v>0.56895259466271497</v>
      </c>
      <c r="N14" s="1" t="s">
        <v>8</v>
      </c>
    </row>
    <row r="15" spans="1:14" x14ac:dyDescent="0.35">
      <c r="A15" s="1" t="s">
        <v>33</v>
      </c>
      <c r="B15">
        <v>1000</v>
      </c>
      <c r="C15">
        <v>140</v>
      </c>
      <c r="D15" t="s">
        <v>7</v>
      </c>
      <c r="E15">
        <v>5912821.875</v>
      </c>
      <c r="F15">
        <v>101600600</v>
      </c>
      <c r="G15">
        <v>3011703.125</v>
      </c>
      <c r="H15" s="1" t="e">
        <f>cutofftesting[[#This Row],[Native_ns]]/1000000</f>
        <v>#VALUE!</v>
      </c>
      <c r="I15" s="1">
        <f>cutofftesting[[#This Row],[Schoolbook_ns]]/1000000</f>
        <v>5.9128218749999997</v>
      </c>
      <c r="J15" s="1">
        <f>cutofftesting[[#This Row],[Pure_Karatsuba_ns]]/1000000</f>
        <v>101.6006</v>
      </c>
      <c r="K15" s="1">
        <f>cutofftesting[[#This Row],[Hybrid_Karatsuba_ns]]/1000000</f>
        <v>3.0117031249999999</v>
      </c>
      <c r="L15" s="1">
        <f>cutofftesting[[#This Row],[Pure_Karatsuba_ns]]/cutofftesting[[#This Row],[Schoolbook_ns]]</f>
        <v>17.183098383121848</v>
      </c>
      <c r="M15" s="1">
        <f>cutofftesting[[#This Row],[Hybrid_Karatsuba_ns]]/cutofftesting[[#This Row],[Schoolbook_ns]]</f>
        <v>0.50935123510717972</v>
      </c>
      <c r="N15" s="1" t="s">
        <v>8</v>
      </c>
    </row>
    <row r="16" spans="1:14" x14ac:dyDescent="0.35">
      <c r="A16" s="1" t="s">
        <v>34</v>
      </c>
      <c r="B16">
        <v>1000</v>
      </c>
      <c r="C16">
        <v>150</v>
      </c>
      <c r="D16" t="s">
        <v>7</v>
      </c>
      <c r="E16">
        <v>5741287.5</v>
      </c>
      <c r="F16">
        <v>100046300</v>
      </c>
      <c r="G16">
        <v>3014178.125</v>
      </c>
      <c r="H16" s="1" t="e">
        <f>cutofftesting[[#This Row],[Native_ns]]/1000000</f>
        <v>#VALUE!</v>
      </c>
      <c r="I16" s="1">
        <f>cutofftesting[[#This Row],[Schoolbook_ns]]/1000000</f>
        <v>5.7412875000000003</v>
      </c>
      <c r="J16" s="1">
        <f>cutofftesting[[#This Row],[Pure_Karatsuba_ns]]/1000000</f>
        <v>100.0463</v>
      </c>
      <c r="K16" s="1">
        <f>cutofftesting[[#This Row],[Hybrid_Karatsuba_ns]]/1000000</f>
        <v>3.0141781249999999</v>
      </c>
      <c r="L16" s="1">
        <f>cutofftesting[[#This Row],[Pure_Karatsuba_ns]]/cutofftesting[[#This Row],[Schoolbook_ns]]</f>
        <v>17.425760336858239</v>
      </c>
      <c r="M16" s="1">
        <f>cutofftesting[[#This Row],[Hybrid_Karatsuba_ns]]/cutofftesting[[#This Row],[Schoolbook_ns]]</f>
        <v>0.52500038101209878</v>
      </c>
      <c r="N16" s="1" t="s">
        <v>8</v>
      </c>
    </row>
    <row r="17" spans="1:14" x14ac:dyDescent="0.35">
      <c r="A17" s="1" t="s">
        <v>35</v>
      </c>
      <c r="B17">
        <v>1000</v>
      </c>
      <c r="C17">
        <v>160</v>
      </c>
      <c r="D17" t="s">
        <v>7</v>
      </c>
      <c r="E17">
        <v>5523531.25</v>
      </c>
      <c r="F17">
        <v>101907000</v>
      </c>
      <c r="G17">
        <v>3297978.125</v>
      </c>
      <c r="H17" s="1" t="e">
        <f>cutofftesting[[#This Row],[Native_ns]]/1000000</f>
        <v>#VALUE!</v>
      </c>
      <c r="I17" s="1">
        <f>cutofftesting[[#This Row],[Schoolbook_ns]]/1000000</f>
        <v>5.5235312499999996</v>
      </c>
      <c r="J17" s="1">
        <f>cutofftesting[[#This Row],[Pure_Karatsuba_ns]]/1000000</f>
        <v>101.907</v>
      </c>
      <c r="K17" s="1">
        <f>cutofftesting[[#This Row],[Hybrid_Karatsuba_ns]]/1000000</f>
        <v>3.2979781250000002</v>
      </c>
      <c r="L17" s="1">
        <f>cutofftesting[[#This Row],[Pure_Karatsuba_ns]]/cutofftesting[[#This Row],[Schoolbook_ns]]</f>
        <v>18.449610473372445</v>
      </c>
      <c r="M17" s="1">
        <f>cutofftesting[[#This Row],[Hybrid_Karatsuba_ns]]/cutofftesting[[#This Row],[Schoolbook_ns]]</f>
        <v>0.59707784309177214</v>
      </c>
      <c r="N17" s="1" t="s">
        <v>8</v>
      </c>
    </row>
    <row r="18" spans="1:14" x14ac:dyDescent="0.35">
      <c r="A18" s="1" t="s">
        <v>36</v>
      </c>
      <c r="B18">
        <v>1000</v>
      </c>
      <c r="C18">
        <v>170</v>
      </c>
      <c r="D18" t="s">
        <v>7</v>
      </c>
      <c r="E18">
        <v>5587071.875</v>
      </c>
      <c r="F18">
        <v>93618450</v>
      </c>
      <c r="G18">
        <v>3013985.9380000001</v>
      </c>
      <c r="H18" s="1" t="e">
        <f>cutofftesting[[#This Row],[Native_ns]]/1000000</f>
        <v>#VALUE!</v>
      </c>
      <c r="I18" s="1">
        <f>cutofftesting[[#This Row],[Schoolbook_ns]]/1000000</f>
        <v>5.5870718750000004</v>
      </c>
      <c r="J18" s="1">
        <f>cutofftesting[[#This Row],[Pure_Karatsuba_ns]]/1000000</f>
        <v>93.618449999999996</v>
      </c>
      <c r="K18" s="1">
        <f>cutofftesting[[#This Row],[Hybrid_Karatsuba_ns]]/1000000</f>
        <v>3.0139859380000003</v>
      </c>
      <c r="L18" s="1">
        <f>cutofftesting[[#This Row],[Pure_Karatsuba_ns]]/cutofftesting[[#This Row],[Schoolbook_ns]]</f>
        <v>16.75626376293933</v>
      </c>
      <c r="M18" s="1">
        <f>cutofftesting[[#This Row],[Hybrid_Karatsuba_ns]]/cutofftesting[[#This Row],[Schoolbook_ns]]</f>
        <v>0.53945716207561767</v>
      </c>
      <c r="N18" s="1" t="s">
        <v>8</v>
      </c>
    </row>
    <row r="19" spans="1:14" x14ac:dyDescent="0.35">
      <c r="A19" s="1" t="s">
        <v>37</v>
      </c>
      <c r="B19">
        <v>1000</v>
      </c>
      <c r="C19">
        <v>180</v>
      </c>
      <c r="D19" t="s">
        <v>7</v>
      </c>
      <c r="E19">
        <v>5435034.375</v>
      </c>
      <c r="F19">
        <v>92545000</v>
      </c>
      <c r="G19">
        <v>3082078.125</v>
      </c>
      <c r="H19" s="1" t="e">
        <f>cutofftesting[[#This Row],[Native_ns]]/1000000</f>
        <v>#VALUE!</v>
      </c>
      <c r="I19" s="1">
        <f>cutofftesting[[#This Row],[Schoolbook_ns]]/1000000</f>
        <v>5.4350343749999999</v>
      </c>
      <c r="J19" s="1">
        <f>cutofftesting[[#This Row],[Pure_Karatsuba_ns]]/1000000</f>
        <v>92.545000000000002</v>
      </c>
      <c r="K19" s="1">
        <f>cutofftesting[[#This Row],[Hybrid_Karatsuba_ns]]/1000000</f>
        <v>3.0820781249999998</v>
      </c>
      <c r="L19" s="1">
        <f>cutofftesting[[#This Row],[Pure_Karatsuba_ns]]/cutofftesting[[#This Row],[Schoolbook_ns]]</f>
        <v>17.027491201470092</v>
      </c>
      <c r="M19" s="1">
        <f>cutofftesting[[#This Row],[Hybrid_Karatsuba_ns]]/cutofftesting[[#This Row],[Schoolbook_ns]]</f>
        <v>0.56707610519942664</v>
      </c>
      <c r="N19" s="1" t="s">
        <v>8</v>
      </c>
    </row>
    <row r="20" spans="1:14" x14ac:dyDescent="0.35">
      <c r="A20" s="1" t="s">
        <v>38</v>
      </c>
      <c r="B20">
        <v>1000</v>
      </c>
      <c r="C20">
        <v>190</v>
      </c>
      <c r="D20" s="1" t="s">
        <v>7</v>
      </c>
      <c r="E20">
        <v>5516062.5</v>
      </c>
      <c r="F20">
        <v>92952550</v>
      </c>
      <c r="G20">
        <v>3033068.75</v>
      </c>
      <c r="H20" s="1" t="e">
        <f>cutofftesting[[#This Row],[Native_ns]]/1000000</f>
        <v>#VALUE!</v>
      </c>
      <c r="I20" s="1">
        <f>cutofftesting[[#This Row],[Schoolbook_ns]]/1000000</f>
        <v>5.5160625000000003</v>
      </c>
      <c r="J20" s="1">
        <f>cutofftesting[[#This Row],[Pure_Karatsuba_ns]]/1000000</f>
        <v>92.952550000000002</v>
      </c>
      <c r="K20" s="1">
        <f>cutofftesting[[#This Row],[Hybrid_Karatsuba_ns]]/1000000</f>
        <v>3.03306875</v>
      </c>
      <c r="L20" s="1">
        <f>cutofftesting[[#This Row],[Pure_Karatsuba_ns]]/cutofftesting[[#This Row],[Schoolbook_ns]]</f>
        <v>16.851250325753199</v>
      </c>
      <c r="M20" s="1">
        <f>cutofftesting[[#This Row],[Hybrid_Karatsuba_ns]]/cutofftesting[[#This Row],[Schoolbook_ns]]</f>
        <v>0.5498612008112671</v>
      </c>
      <c r="N20" s="1" t="s">
        <v>8</v>
      </c>
    </row>
    <row r="21" spans="1:14" x14ac:dyDescent="0.35">
      <c r="A21" s="1" t="s">
        <v>39</v>
      </c>
      <c r="B21">
        <v>1000</v>
      </c>
      <c r="C21">
        <v>200</v>
      </c>
      <c r="D21" t="s">
        <v>7</v>
      </c>
      <c r="E21">
        <v>5469706.25</v>
      </c>
      <c r="F21">
        <v>93554350</v>
      </c>
      <c r="G21">
        <v>3091051.5619999999</v>
      </c>
      <c r="H21" s="1" t="e">
        <f>cutofftesting[[#This Row],[Native_ns]]/1000000</f>
        <v>#VALUE!</v>
      </c>
      <c r="I21" s="1">
        <f>cutofftesting[[#This Row],[Schoolbook_ns]]/1000000</f>
        <v>5.4697062499999998</v>
      </c>
      <c r="J21" s="1">
        <f>cutofftesting[[#This Row],[Pure_Karatsuba_ns]]/1000000</f>
        <v>93.554349999999999</v>
      </c>
      <c r="K21" s="1">
        <f>cutofftesting[[#This Row],[Hybrid_Karatsuba_ns]]/1000000</f>
        <v>3.0910515620000001</v>
      </c>
      <c r="L21" s="1">
        <f>cutofftesting[[#This Row],[Pure_Karatsuba_ns]]/cutofftesting[[#This Row],[Schoolbook_ns]]</f>
        <v>17.104090370483789</v>
      </c>
      <c r="M21" s="1">
        <f>cutofftesting[[#This Row],[Hybrid_Karatsuba_ns]]/cutofftesting[[#This Row],[Schoolbook_ns]]</f>
        <v>0.56512204142589928</v>
      </c>
      <c r="N21" s="1" t="s">
        <v>8</v>
      </c>
    </row>
    <row r="22" spans="1:14" x14ac:dyDescent="0.35">
      <c r="A22" s="1"/>
      <c r="H22" s="1"/>
      <c r="I22" s="1"/>
      <c r="J22" s="1"/>
      <c r="K22" s="1"/>
      <c r="L22" s="1"/>
      <c r="M22" s="1"/>
      <c r="N22" s="1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EB53-ED68-400D-9BF3-E14C6707ECC3}">
  <dimension ref="A1:M101"/>
  <sheetViews>
    <sheetView workbookViewId="0">
      <selection activeCell="Q48" sqref="Q48"/>
    </sheetView>
  </sheetViews>
  <sheetFormatPr defaultRowHeight="14.5" x14ac:dyDescent="0.35"/>
  <cols>
    <col min="1" max="1" width="7.90625" bestFit="1" customWidth="1"/>
    <col min="2" max="2" width="14.7265625" bestFit="1" customWidth="1"/>
    <col min="3" max="3" width="11.26953125" bestFit="1" customWidth="1"/>
    <col min="4" max="4" width="15.81640625" bestFit="1" customWidth="1"/>
    <col min="5" max="5" width="19.08984375" bestFit="1" customWidth="1"/>
    <col min="6" max="6" width="20.90625" bestFit="1" customWidth="1"/>
    <col min="7" max="7" width="14.08984375" bestFit="1" customWidth="1"/>
    <col min="8" max="8" width="18.6328125" bestFit="1" customWidth="1"/>
    <col min="9" max="9" width="17.26953125" bestFit="1" customWidth="1"/>
    <col min="10" max="10" width="14.26953125" bestFit="1" customWidth="1"/>
    <col min="11" max="11" width="19" customWidth="1"/>
    <col min="12" max="12" width="23.36328125" customWidth="1"/>
  </cols>
  <sheetData>
    <row r="1" spans="1:13" x14ac:dyDescent="0.3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22</v>
      </c>
      <c r="H1" t="s">
        <v>23</v>
      </c>
      <c r="I1" t="s">
        <v>24</v>
      </c>
      <c r="J1" t="s">
        <v>25</v>
      </c>
      <c r="K1" t="s">
        <v>20</v>
      </c>
      <c r="L1" t="s">
        <v>21</v>
      </c>
      <c r="M1" t="s">
        <v>6</v>
      </c>
    </row>
    <row r="2" spans="1:13" x14ac:dyDescent="0.35">
      <c r="A2">
        <v>1</v>
      </c>
      <c r="B2">
        <v>32</v>
      </c>
      <c r="C2">
        <v>1.7170000000000001</v>
      </c>
      <c r="D2">
        <v>249.244</v>
      </c>
      <c r="E2">
        <v>75.474999999999994</v>
      </c>
      <c r="F2">
        <v>252.125</v>
      </c>
      <c r="G2">
        <f>kar_lowdigits[[#This Row],[Native]]/1000000</f>
        <v>1.717E-6</v>
      </c>
      <c r="H2">
        <f>kar_lowdigits[[#This Row],[Schoolbook]]/1000000</f>
        <v>2.4924399999999997E-4</v>
      </c>
      <c r="I2">
        <f>kar_lowdigits[[#This Row],[Karatsuba]]/1000000</f>
        <v>7.5474999999999991E-5</v>
      </c>
      <c r="J2">
        <f>kar_lowdigits[[#This Row],[Hybrid]]/1000000</f>
        <v>2.5212500000000002E-4</v>
      </c>
      <c r="K2">
        <f>kar_lowdigits[[#This Row],[Karatsuba]]/kar_lowdigits[[#This Row],[Schoolbook]]</f>
        <v>0.30281571472131724</v>
      </c>
      <c r="L2">
        <f>kar_lowdigits[[#This Row],[Hybrid]]/kar_lowdigits[[#This Row],[Schoolbook]]</f>
        <v>1.0115589542777359</v>
      </c>
      <c r="M2" t="s">
        <v>8</v>
      </c>
    </row>
    <row r="3" spans="1:13" x14ac:dyDescent="0.35">
      <c r="A3">
        <v>2</v>
      </c>
      <c r="B3">
        <v>32</v>
      </c>
      <c r="C3">
        <v>1.7390000000000001</v>
      </c>
      <c r="D3">
        <v>359.89600000000002</v>
      </c>
      <c r="E3">
        <v>2791.4290000000001</v>
      </c>
      <c r="F3">
        <v>358.75099999999998</v>
      </c>
      <c r="G3">
        <f>kar_lowdigits[[#This Row],[Native]]/1000000</f>
        <v>1.7390000000000002E-6</v>
      </c>
      <c r="H3">
        <f>kar_lowdigits[[#This Row],[Schoolbook]]/1000000</f>
        <v>3.5989600000000001E-4</v>
      </c>
      <c r="I3">
        <f>kar_lowdigits[[#This Row],[Karatsuba]]/1000000</f>
        <v>2.7914290000000002E-3</v>
      </c>
      <c r="J3">
        <f>kar_lowdigits[[#This Row],[Hybrid]]/1000000</f>
        <v>3.5875099999999998E-4</v>
      </c>
      <c r="K3">
        <f>kar_lowdigits[[#This Row],[Karatsuba]]/kar_lowdigits[[#This Row],[Schoolbook]]</f>
        <v>7.7562101273701289</v>
      </c>
      <c r="L3">
        <f>kar_lowdigits[[#This Row],[Hybrid]]/kar_lowdigits[[#This Row],[Schoolbook]]</f>
        <v>0.99681852535176818</v>
      </c>
      <c r="M3" t="s">
        <v>8</v>
      </c>
    </row>
    <row r="4" spans="1:13" x14ac:dyDescent="0.35">
      <c r="A4">
        <v>3</v>
      </c>
      <c r="B4">
        <v>32</v>
      </c>
      <c r="C4">
        <v>1.716</v>
      </c>
      <c r="D4">
        <v>472.61599999999999</v>
      </c>
      <c r="E4">
        <v>9485.9989999999998</v>
      </c>
      <c r="F4">
        <v>481.84500000000003</v>
      </c>
      <c r="G4">
        <f>kar_lowdigits[[#This Row],[Native]]/1000000</f>
        <v>1.716E-6</v>
      </c>
      <c r="H4">
        <f>kar_lowdigits[[#This Row],[Schoolbook]]/1000000</f>
        <v>4.7261599999999998E-4</v>
      </c>
      <c r="I4">
        <f>kar_lowdigits[[#This Row],[Karatsuba]]/1000000</f>
        <v>9.4859990000000002E-3</v>
      </c>
      <c r="J4">
        <f>kar_lowdigits[[#This Row],[Hybrid]]/1000000</f>
        <v>4.8184500000000001E-4</v>
      </c>
      <c r="K4">
        <f>kar_lowdigits[[#This Row],[Karatsuba]]/kar_lowdigits[[#This Row],[Schoolbook]]</f>
        <v>20.0712608121604</v>
      </c>
      <c r="L4">
        <f>kar_lowdigits[[#This Row],[Hybrid]]/kar_lowdigits[[#This Row],[Schoolbook]]</f>
        <v>1.0195274810840091</v>
      </c>
      <c r="M4" t="s">
        <v>8</v>
      </c>
    </row>
    <row r="5" spans="1:13" x14ac:dyDescent="0.35">
      <c r="A5">
        <v>4</v>
      </c>
      <c r="B5">
        <v>32</v>
      </c>
      <c r="C5">
        <v>1.7210000000000001</v>
      </c>
      <c r="D5">
        <v>542.19799999999998</v>
      </c>
      <c r="E5">
        <v>13645.312</v>
      </c>
      <c r="F5">
        <v>557.524</v>
      </c>
      <c r="G5">
        <f>kar_lowdigits[[#This Row],[Native]]/1000000</f>
        <v>1.7210000000000001E-6</v>
      </c>
      <c r="H5">
        <f>kar_lowdigits[[#This Row],[Schoolbook]]/1000000</f>
        <v>5.4219800000000003E-4</v>
      </c>
      <c r="I5">
        <f>kar_lowdigits[[#This Row],[Karatsuba]]/1000000</f>
        <v>1.3645312E-2</v>
      </c>
      <c r="J5">
        <f>kar_lowdigits[[#This Row],[Hybrid]]/1000000</f>
        <v>5.57524E-4</v>
      </c>
      <c r="K5">
        <f>kar_lowdigits[[#This Row],[Karatsuba]]/kar_lowdigits[[#This Row],[Schoolbook]]</f>
        <v>25.166658674506362</v>
      </c>
      <c r="L5">
        <f>kar_lowdigits[[#This Row],[Hybrid]]/kar_lowdigits[[#This Row],[Schoolbook]]</f>
        <v>1.0282664266559449</v>
      </c>
      <c r="M5" t="s">
        <v>8</v>
      </c>
    </row>
    <row r="6" spans="1:13" x14ac:dyDescent="0.35">
      <c r="A6">
        <v>5</v>
      </c>
      <c r="B6">
        <v>32</v>
      </c>
      <c r="C6">
        <v>1.7250000000000001</v>
      </c>
      <c r="D6">
        <v>685.04300000000001</v>
      </c>
      <c r="E6">
        <v>22364.429</v>
      </c>
      <c r="F6">
        <v>687.923</v>
      </c>
      <c r="G6">
        <f>kar_lowdigits[[#This Row],[Native]]/1000000</f>
        <v>1.725E-6</v>
      </c>
      <c r="H6">
        <f>kar_lowdigits[[#This Row],[Schoolbook]]/1000000</f>
        <v>6.8504299999999998E-4</v>
      </c>
      <c r="I6">
        <f>kar_lowdigits[[#This Row],[Karatsuba]]/1000000</f>
        <v>2.2364429000000002E-2</v>
      </c>
      <c r="J6">
        <f>kar_lowdigits[[#This Row],[Hybrid]]/1000000</f>
        <v>6.8792300000000001E-4</v>
      </c>
      <c r="K6">
        <f>kar_lowdigits[[#This Row],[Karatsuba]]/kar_lowdigits[[#This Row],[Schoolbook]]</f>
        <v>32.646752101692883</v>
      </c>
      <c r="L6">
        <f>kar_lowdigits[[#This Row],[Hybrid]]/kar_lowdigits[[#This Row],[Schoolbook]]</f>
        <v>1.0042041156540538</v>
      </c>
      <c r="M6" t="s">
        <v>8</v>
      </c>
    </row>
    <row r="7" spans="1:13" x14ac:dyDescent="0.35">
      <c r="A7">
        <v>6</v>
      </c>
      <c r="B7">
        <v>32</v>
      </c>
      <c r="C7">
        <v>1.7190000000000001</v>
      </c>
      <c r="D7">
        <v>765.50400000000002</v>
      </c>
      <c r="E7">
        <v>25254.027999999998</v>
      </c>
      <c r="F7">
        <v>767.80399999999997</v>
      </c>
      <c r="G7">
        <f>kar_lowdigits[[#This Row],[Native]]/1000000</f>
        <v>1.7190000000000002E-6</v>
      </c>
      <c r="H7">
        <f>kar_lowdigits[[#This Row],[Schoolbook]]/1000000</f>
        <v>7.6550399999999997E-4</v>
      </c>
      <c r="I7">
        <f>kar_lowdigits[[#This Row],[Karatsuba]]/1000000</f>
        <v>2.5254027999999998E-2</v>
      </c>
      <c r="J7">
        <f>kar_lowdigits[[#This Row],[Hybrid]]/1000000</f>
        <v>7.6780399999999997E-4</v>
      </c>
      <c r="K7">
        <f>kar_lowdigits[[#This Row],[Karatsuba]]/kar_lowdigits[[#This Row],[Schoolbook]]</f>
        <v>32.990066675027165</v>
      </c>
      <c r="L7">
        <f>kar_lowdigits[[#This Row],[Hybrid]]/kar_lowdigits[[#This Row],[Schoolbook]]</f>
        <v>1.003004556475211</v>
      </c>
      <c r="M7" t="s">
        <v>8</v>
      </c>
    </row>
    <row r="8" spans="1:13" x14ac:dyDescent="0.35">
      <c r="A8">
        <v>7</v>
      </c>
      <c r="B8">
        <v>32</v>
      </c>
      <c r="C8">
        <v>1.7230000000000001</v>
      </c>
      <c r="D8">
        <v>856.197</v>
      </c>
      <c r="E8">
        <v>34387.964</v>
      </c>
      <c r="F8">
        <v>892.01400000000001</v>
      </c>
      <c r="G8">
        <f>kar_lowdigits[[#This Row],[Native]]/1000000</f>
        <v>1.7230000000000001E-6</v>
      </c>
      <c r="H8">
        <f>kar_lowdigits[[#This Row],[Schoolbook]]/1000000</f>
        <v>8.5619700000000006E-4</v>
      </c>
      <c r="I8">
        <f>kar_lowdigits[[#This Row],[Karatsuba]]/1000000</f>
        <v>3.4387964E-2</v>
      </c>
      <c r="J8">
        <f>kar_lowdigits[[#This Row],[Hybrid]]/1000000</f>
        <v>8.92014E-4</v>
      </c>
      <c r="K8">
        <f>kar_lowdigits[[#This Row],[Karatsuba]]/kar_lowdigits[[#This Row],[Schoolbook]]</f>
        <v>40.163611879041859</v>
      </c>
      <c r="L8">
        <f>kar_lowdigits[[#This Row],[Hybrid]]/kar_lowdigits[[#This Row],[Schoolbook]]</f>
        <v>1.0418326623428953</v>
      </c>
      <c r="M8" t="s">
        <v>8</v>
      </c>
    </row>
    <row r="9" spans="1:13" x14ac:dyDescent="0.35">
      <c r="A9">
        <v>8</v>
      </c>
      <c r="B9">
        <v>32</v>
      </c>
      <c r="C9">
        <v>1.7689999999999999</v>
      </c>
      <c r="D9">
        <v>1009.2430000000001</v>
      </c>
      <c r="E9">
        <v>42177.637000000002</v>
      </c>
      <c r="F9">
        <v>977.00400000000002</v>
      </c>
      <c r="G9">
        <f>kar_lowdigits[[#This Row],[Native]]/1000000</f>
        <v>1.7689999999999999E-6</v>
      </c>
      <c r="H9">
        <f>kar_lowdigits[[#This Row],[Schoolbook]]/1000000</f>
        <v>1.0092429999999999E-3</v>
      </c>
      <c r="I9">
        <f>kar_lowdigits[[#This Row],[Karatsuba]]/1000000</f>
        <v>4.2177637000000004E-2</v>
      </c>
      <c r="J9">
        <f>kar_lowdigits[[#This Row],[Hybrid]]/1000000</f>
        <v>9.7700400000000007E-4</v>
      </c>
      <c r="K9">
        <f>kar_lowdigits[[#This Row],[Karatsuba]]/kar_lowdigits[[#This Row],[Schoolbook]]</f>
        <v>41.791359464469906</v>
      </c>
      <c r="L9">
        <f>kar_lowdigits[[#This Row],[Hybrid]]/kar_lowdigits[[#This Row],[Schoolbook]]</f>
        <v>0.96805625602555578</v>
      </c>
      <c r="M9" t="s">
        <v>8</v>
      </c>
    </row>
    <row r="10" spans="1:13" x14ac:dyDescent="0.35">
      <c r="A10">
        <v>9</v>
      </c>
      <c r="B10">
        <v>32</v>
      </c>
      <c r="C10">
        <v>1.7230000000000001</v>
      </c>
      <c r="D10">
        <v>1254.1389999999999</v>
      </c>
      <c r="E10">
        <v>63620.264000000003</v>
      </c>
      <c r="F10">
        <v>1240.075</v>
      </c>
      <c r="G10">
        <f>kar_lowdigits[[#This Row],[Native]]/1000000</f>
        <v>1.7230000000000001E-6</v>
      </c>
      <c r="H10">
        <f>kar_lowdigits[[#This Row],[Schoolbook]]/1000000</f>
        <v>1.2541389999999998E-3</v>
      </c>
      <c r="I10">
        <f>kar_lowdigits[[#This Row],[Karatsuba]]/1000000</f>
        <v>6.362026400000001E-2</v>
      </c>
      <c r="J10">
        <f>kar_lowdigits[[#This Row],[Hybrid]]/1000000</f>
        <v>1.240075E-3</v>
      </c>
      <c r="K10">
        <f>kar_lowdigits[[#This Row],[Karatsuba]]/kar_lowdigits[[#This Row],[Schoolbook]]</f>
        <v>50.728239852201398</v>
      </c>
      <c r="L10">
        <f>kar_lowdigits[[#This Row],[Hybrid]]/kar_lowdigits[[#This Row],[Schoolbook]]</f>
        <v>0.98878593202188925</v>
      </c>
      <c r="M10" t="s">
        <v>8</v>
      </c>
    </row>
    <row r="11" spans="1:13" x14ac:dyDescent="0.35">
      <c r="A11">
        <v>10</v>
      </c>
      <c r="B11">
        <v>32</v>
      </c>
      <c r="C11">
        <v>1.7669999999999999</v>
      </c>
      <c r="D11">
        <v>1419.9559999999999</v>
      </c>
      <c r="E11">
        <v>72378.418000000005</v>
      </c>
      <c r="F11">
        <v>1852.527</v>
      </c>
      <c r="G11">
        <f>kar_lowdigits[[#This Row],[Native]]/1000000</f>
        <v>1.767E-6</v>
      </c>
      <c r="H11">
        <f>kar_lowdigits[[#This Row],[Schoolbook]]/1000000</f>
        <v>1.419956E-3</v>
      </c>
      <c r="I11">
        <f>kar_lowdigits[[#This Row],[Karatsuba]]/1000000</f>
        <v>7.2378418E-2</v>
      </c>
      <c r="J11">
        <f>kar_lowdigits[[#This Row],[Hybrid]]/1000000</f>
        <v>1.8525270000000001E-3</v>
      </c>
      <c r="K11">
        <f>kar_lowdigits[[#This Row],[Karatsuba]]/kar_lowdigits[[#This Row],[Schoolbook]]</f>
        <v>50.972296324674858</v>
      </c>
      <c r="L11">
        <f>kar_lowdigits[[#This Row],[Hybrid]]/kar_lowdigits[[#This Row],[Schoolbook]]</f>
        <v>1.3046369042421033</v>
      </c>
      <c r="M11" t="s">
        <v>8</v>
      </c>
    </row>
    <row r="12" spans="1:13" x14ac:dyDescent="0.35">
      <c r="A12">
        <v>11</v>
      </c>
      <c r="B12">
        <v>32</v>
      </c>
      <c r="C12">
        <v>1.734</v>
      </c>
      <c r="D12">
        <v>1550.528</v>
      </c>
      <c r="E12">
        <v>104605.811</v>
      </c>
      <c r="F12">
        <v>1571.1759999999999</v>
      </c>
      <c r="G12">
        <f>kar_lowdigits[[#This Row],[Native]]/1000000</f>
        <v>1.734E-6</v>
      </c>
      <c r="H12">
        <f>kar_lowdigits[[#This Row],[Schoolbook]]/1000000</f>
        <v>1.550528E-3</v>
      </c>
      <c r="I12">
        <f>kar_lowdigits[[#This Row],[Karatsuba]]/1000000</f>
        <v>0.10460581100000001</v>
      </c>
      <c r="J12">
        <f>kar_lowdigits[[#This Row],[Hybrid]]/1000000</f>
        <v>1.5711759999999999E-3</v>
      </c>
      <c r="K12">
        <f>kar_lowdigits[[#This Row],[Karatsuba]]/kar_lowdigits[[#This Row],[Schoolbook]]</f>
        <v>67.464638497337688</v>
      </c>
      <c r="L12">
        <f>kar_lowdigits[[#This Row],[Hybrid]]/kar_lowdigits[[#This Row],[Schoolbook]]</f>
        <v>1.0133167540347545</v>
      </c>
      <c r="M12" t="s">
        <v>8</v>
      </c>
    </row>
    <row r="13" spans="1:13" x14ac:dyDescent="0.35">
      <c r="A13">
        <v>12</v>
      </c>
      <c r="B13">
        <v>32</v>
      </c>
      <c r="C13">
        <v>1.722</v>
      </c>
      <c r="D13">
        <v>1723.5050000000001</v>
      </c>
      <c r="E13">
        <v>82304.053</v>
      </c>
      <c r="F13">
        <v>1706.7170000000001</v>
      </c>
      <c r="G13">
        <f>kar_lowdigits[[#This Row],[Native]]/1000000</f>
        <v>1.722E-6</v>
      </c>
      <c r="H13">
        <f>kar_lowdigits[[#This Row],[Schoolbook]]/1000000</f>
        <v>1.7235050000000002E-3</v>
      </c>
      <c r="I13">
        <f>kar_lowdigits[[#This Row],[Karatsuba]]/1000000</f>
        <v>8.2304053000000002E-2</v>
      </c>
      <c r="J13">
        <f>kar_lowdigits[[#This Row],[Hybrid]]/1000000</f>
        <v>1.7067170000000002E-3</v>
      </c>
      <c r="K13">
        <f>kar_lowdigits[[#This Row],[Karatsuba]]/kar_lowdigits[[#This Row],[Schoolbook]]</f>
        <v>47.753881189784764</v>
      </c>
      <c r="L13">
        <f>kar_lowdigits[[#This Row],[Hybrid]]/kar_lowdigits[[#This Row],[Schoolbook]]</f>
        <v>0.99025938421994719</v>
      </c>
      <c r="M13" t="s">
        <v>8</v>
      </c>
    </row>
    <row r="14" spans="1:13" x14ac:dyDescent="0.35">
      <c r="A14">
        <v>13</v>
      </c>
      <c r="B14">
        <v>32</v>
      </c>
      <c r="C14">
        <v>1.8680000000000001</v>
      </c>
      <c r="D14">
        <v>1876.491</v>
      </c>
      <c r="E14">
        <v>93699.218999999997</v>
      </c>
      <c r="F14">
        <v>1874.9970000000001</v>
      </c>
      <c r="G14">
        <f>kar_lowdigits[[#This Row],[Native]]/1000000</f>
        <v>1.8680000000000002E-6</v>
      </c>
      <c r="H14">
        <f>kar_lowdigits[[#This Row],[Schoolbook]]/1000000</f>
        <v>1.8764909999999999E-3</v>
      </c>
      <c r="I14">
        <f>kar_lowdigits[[#This Row],[Karatsuba]]/1000000</f>
        <v>9.3699219E-2</v>
      </c>
      <c r="J14">
        <f>kar_lowdigits[[#This Row],[Hybrid]]/1000000</f>
        <v>1.874997E-3</v>
      </c>
      <c r="K14">
        <f>kar_lowdigits[[#This Row],[Karatsuba]]/kar_lowdigits[[#This Row],[Schoolbook]]</f>
        <v>49.933209911478393</v>
      </c>
      <c r="L14">
        <f>kar_lowdigits[[#This Row],[Hybrid]]/kar_lowdigits[[#This Row],[Schoolbook]]</f>
        <v>0.99920383311190941</v>
      </c>
      <c r="M14" t="s">
        <v>8</v>
      </c>
    </row>
    <row r="15" spans="1:13" x14ac:dyDescent="0.35">
      <c r="A15">
        <v>14</v>
      </c>
      <c r="B15">
        <v>32</v>
      </c>
      <c r="C15">
        <v>1.726</v>
      </c>
      <c r="D15">
        <v>2053.3980000000001</v>
      </c>
      <c r="E15">
        <v>107617.09</v>
      </c>
      <c r="F15">
        <v>2287.3989999999999</v>
      </c>
      <c r="G15">
        <f>kar_lowdigits[[#This Row],[Native]]/1000000</f>
        <v>1.7260000000000001E-6</v>
      </c>
      <c r="H15">
        <f>kar_lowdigits[[#This Row],[Schoolbook]]/1000000</f>
        <v>2.0533980000000001E-3</v>
      </c>
      <c r="I15">
        <f>kar_lowdigits[[#This Row],[Karatsuba]]/1000000</f>
        <v>0.10761709</v>
      </c>
      <c r="J15">
        <f>kar_lowdigits[[#This Row],[Hybrid]]/1000000</f>
        <v>2.2873989999999999E-3</v>
      </c>
      <c r="K15">
        <f>kar_lowdigits[[#This Row],[Karatsuba]]/kar_lowdigits[[#This Row],[Schoolbook]]</f>
        <v>52.409269902863443</v>
      </c>
      <c r="L15">
        <f>kar_lowdigits[[#This Row],[Hybrid]]/kar_lowdigits[[#This Row],[Schoolbook]]</f>
        <v>1.1139579370389958</v>
      </c>
      <c r="M15" t="s">
        <v>8</v>
      </c>
    </row>
    <row r="16" spans="1:13" x14ac:dyDescent="0.35">
      <c r="A16">
        <v>15</v>
      </c>
      <c r="B16">
        <v>32</v>
      </c>
      <c r="C16">
        <v>1.734</v>
      </c>
      <c r="D16">
        <v>2281.8440000000001</v>
      </c>
      <c r="E16">
        <v>111456.641</v>
      </c>
      <c r="F16">
        <v>2262.9520000000002</v>
      </c>
      <c r="G16">
        <f>kar_lowdigits[[#This Row],[Native]]/1000000</f>
        <v>1.734E-6</v>
      </c>
      <c r="H16">
        <f>kar_lowdigits[[#This Row],[Schoolbook]]/1000000</f>
        <v>2.2818439999999999E-3</v>
      </c>
      <c r="I16">
        <f>kar_lowdigits[[#This Row],[Karatsuba]]/1000000</f>
        <v>0.11145664100000001</v>
      </c>
      <c r="J16">
        <f>kar_lowdigits[[#This Row],[Hybrid]]/1000000</f>
        <v>2.2629520000000004E-3</v>
      </c>
      <c r="K16">
        <f>kar_lowdigits[[#This Row],[Karatsuba]]/kar_lowdigits[[#This Row],[Schoolbook]]</f>
        <v>48.844987212096882</v>
      </c>
      <c r="L16">
        <f>kar_lowdigits[[#This Row],[Hybrid]]/kar_lowdigits[[#This Row],[Schoolbook]]</f>
        <v>0.99172073112798254</v>
      </c>
      <c r="M16" t="s">
        <v>8</v>
      </c>
    </row>
    <row r="17" spans="1:13" x14ac:dyDescent="0.35">
      <c r="A17">
        <v>16</v>
      </c>
      <c r="B17">
        <v>32</v>
      </c>
      <c r="C17">
        <v>1.776</v>
      </c>
      <c r="D17">
        <v>2437.91</v>
      </c>
      <c r="E17">
        <v>127967.285</v>
      </c>
      <c r="F17">
        <v>2430.605</v>
      </c>
      <c r="G17">
        <f>kar_lowdigits[[#This Row],[Native]]/1000000</f>
        <v>1.776E-6</v>
      </c>
      <c r="H17">
        <f>kar_lowdigits[[#This Row],[Schoolbook]]/1000000</f>
        <v>2.4379099999999997E-3</v>
      </c>
      <c r="I17">
        <f>kar_lowdigits[[#This Row],[Karatsuba]]/1000000</f>
        <v>0.12796728500000001</v>
      </c>
      <c r="J17">
        <f>kar_lowdigits[[#This Row],[Hybrid]]/1000000</f>
        <v>2.4306050000000002E-3</v>
      </c>
      <c r="K17">
        <f>kar_lowdigits[[#This Row],[Karatsuba]]/kar_lowdigits[[#This Row],[Schoolbook]]</f>
        <v>52.49056979133767</v>
      </c>
      <c r="L17">
        <f>kar_lowdigits[[#This Row],[Hybrid]]/kar_lowdigits[[#This Row],[Schoolbook]]</f>
        <v>0.99700358093612973</v>
      </c>
      <c r="M17" t="s">
        <v>8</v>
      </c>
    </row>
    <row r="18" spans="1:13" x14ac:dyDescent="0.35">
      <c r="A18">
        <v>17</v>
      </c>
      <c r="B18">
        <v>32</v>
      </c>
      <c r="C18">
        <v>1.7170000000000001</v>
      </c>
      <c r="D18">
        <v>2731.9229999999998</v>
      </c>
      <c r="E18">
        <v>143753.71100000001</v>
      </c>
      <c r="F18">
        <v>2765.7</v>
      </c>
      <c r="G18">
        <f>kar_lowdigits[[#This Row],[Native]]/1000000</f>
        <v>1.717E-6</v>
      </c>
      <c r="H18">
        <f>kar_lowdigits[[#This Row],[Schoolbook]]/1000000</f>
        <v>2.7319229999999998E-3</v>
      </c>
      <c r="I18">
        <f>kar_lowdigits[[#This Row],[Karatsuba]]/1000000</f>
        <v>0.14375371100000001</v>
      </c>
      <c r="J18">
        <f>kar_lowdigits[[#This Row],[Hybrid]]/1000000</f>
        <v>2.7656999999999998E-3</v>
      </c>
      <c r="K18">
        <f>kar_lowdigits[[#This Row],[Karatsuba]]/kar_lowdigits[[#This Row],[Schoolbook]]</f>
        <v>52.619971719554329</v>
      </c>
      <c r="L18">
        <f>kar_lowdigits[[#This Row],[Hybrid]]/kar_lowdigits[[#This Row],[Schoolbook]]</f>
        <v>1.0123638184531556</v>
      </c>
      <c r="M18" t="s">
        <v>8</v>
      </c>
    </row>
    <row r="19" spans="1:13" x14ac:dyDescent="0.35">
      <c r="A19">
        <v>18</v>
      </c>
      <c r="B19">
        <v>32</v>
      </c>
      <c r="C19">
        <v>1.7230000000000001</v>
      </c>
      <c r="D19">
        <v>2967.6849999999999</v>
      </c>
      <c r="E19">
        <v>167809.08199999999</v>
      </c>
      <c r="F19">
        <v>3271.96</v>
      </c>
      <c r="G19">
        <f>kar_lowdigits[[#This Row],[Native]]/1000000</f>
        <v>1.7230000000000001E-6</v>
      </c>
      <c r="H19">
        <f>kar_lowdigits[[#This Row],[Schoolbook]]/1000000</f>
        <v>2.9676849999999999E-3</v>
      </c>
      <c r="I19">
        <f>kar_lowdigits[[#This Row],[Karatsuba]]/1000000</f>
        <v>0.167809082</v>
      </c>
      <c r="J19">
        <f>kar_lowdigits[[#This Row],[Hybrid]]/1000000</f>
        <v>3.27196E-3</v>
      </c>
      <c r="K19">
        <f>kar_lowdigits[[#This Row],[Karatsuba]]/kar_lowdigits[[#This Row],[Schoolbook]]</f>
        <v>56.545449399110751</v>
      </c>
      <c r="L19">
        <f>kar_lowdigits[[#This Row],[Hybrid]]/kar_lowdigits[[#This Row],[Schoolbook]]</f>
        <v>1.1025294126566667</v>
      </c>
      <c r="M19" t="s">
        <v>8</v>
      </c>
    </row>
    <row r="20" spans="1:13" x14ac:dyDescent="0.35">
      <c r="A20">
        <v>19</v>
      </c>
      <c r="B20">
        <v>32</v>
      </c>
      <c r="C20">
        <v>1.766</v>
      </c>
      <c r="D20">
        <v>3269.1010000000001</v>
      </c>
      <c r="E20">
        <v>185698.242</v>
      </c>
      <c r="F20">
        <v>3211.5079999999998</v>
      </c>
      <c r="G20">
        <f>kar_lowdigits[[#This Row],[Native]]/1000000</f>
        <v>1.7660000000000001E-6</v>
      </c>
      <c r="H20">
        <f>kar_lowdigits[[#This Row],[Schoolbook]]/1000000</f>
        <v>3.269101E-3</v>
      </c>
      <c r="I20">
        <f>kar_lowdigits[[#This Row],[Karatsuba]]/1000000</f>
        <v>0.18569824199999999</v>
      </c>
      <c r="J20">
        <f>kar_lowdigits[[#This Row],[Hybrid]]/1000000</f>
        <v>3.2115079999999996E-3</v>
      </c>
      <c r="K20">
        <f>kar_lowdigits[[#This Row],[Karatsuba]]/kar_lowdigits[[#This Row],[Schoolbook]]</f>
        <v>56.804069987436911</v>
      </c>
      <c r="L20">
        <f>kar_lowdigits[[#This Row],[Hybrid]]/kar_lowdigits[[#This Row],[Schoolbook]]</f>
        <v>0.98238261834063856</v>
      </c>
      <c r="M20" t="s">
        <v>8</v>
      </c>
    </row>
    <row r="21" spans="1:13" x14ac:dyDescent="0.35">
      <c r="A21">
        <v>20</v>
      </c>
      <c r="B21">
        <v>32</v>
      </c>
      <c r="D21">
        <v>3492.712</v>
      </c>
      <c r="E21">
        <v>218623.82800000001</v>
      </c>
      <c r="F21">
        <v>3545.92</v>
      </c>
      <c r="G21">
        <f>kar_lowdigits[[#This Row],[Native]]/1000000</f>
        <v>0</v>
      </c>
      <c r="H21">
        <f>kar_lowdigits[[#This Row],[Schoolbook]]/1000000</f>
        <v>3.4927119999999998E-3</v>
      </c>
      <c r="I21">
        <f>kar_lowdigits[[#This Row],[Karatsuba]]/1000000</f>
        <v>0.21862382800000002</v>
      </c>
      <c r="J21">
        <f>kar_lowdigits[[#This Row],[Hybrid]]/1000000</f>
        <v>3.5459200000000001E-3</v>
      </c>
      <c r="K21">
        <f>kar_lowdigits[[#This Row],[Karatsuba]]/kar_lowdigits[[#This Row],[Schoolbook]]</f>
        <v>62.594290053116318</v>
      </c>
      <c r="L21">
        <f>kar_lowdigits[[#This Row],[Hybrid]]/kar_lowdigits[[#This Row],[Schoolbook]]</f>
        <v>1.0152340072699955</v>
      </c>
      <c r="M21" t="s">
        <v>8</v>
      </c>
    </row>
    <row r="22" spans="1:13" x14ac:dyDescent="0.35">
      <c r="A22">
        <v>21</v>
      </c>
      <c r="B22">
        <v>32</v>
      </c>
      <c r="D22">
        <v>4086.5630000000001</v>
      </c>
      <c r="E22">
        <v>232114.06200000001</v>
      </c>
      <c r="F22">
        <v>3734.7750000000001</v>
      </c>
      <c r="G22">
        <f>kar_lowdigits[[#This Row],[Native]]/1000000</f>
        <v>0</v>
      </c>
      <c r="H22">
        <f>kar_lowdigits[[#This Row],[Schoolbook]]/1000000</f>
        <v>4.0865630000000005E-3</v>
      </c>
      <c r="I22">
        <f>kar_lowdigits[[#This Row],[Karatsuba]]/1000000</f>
        <v>0.23211406200000001</v>
      </c>
      <c r="J22">
        <f>kar_lowdigits[[#This Row],[Hybrid]]/1000000</f>
        <v>3.7347750000000001E-3</v>
      </c>
      <c r="K22">
        <f>kar_lowdigits[[#This Row],[Karatsuba]]/kar_lowdigits[[#This Row],[Schoolbook]]</f>
        <v>56.799335284932596</v>
      </c>
      <c r="L22">
        <f>kar_lowdigits[[#This Row],[Hybrid]]/kar_lowdigits[[#This Row],[Schoolbook]]</f>
        <v>0.91391592396838128</v>
      </c>
      <c r="M22" t="s">
        <v>8</v>
      </c>
    </row>
    <row r="23" spans="1:13" x14ac:dyDescent="0.35">
      <c r="A23">
        <v>22</v>
      </c>
      <c r="B23">
        <v>32</v>
      </c>
      <c r="D23">
        <v>3965.433</v>
      </c>
      <c r="E23">
        <v>237898.82800000001</v>
      </c>
      <c r="F23">
        <v>3974.4569999999999</v>
      </c>
      <c r="G23">
        <f>kar_lowdigits[[#This Row],[Native]]/1000000</f>
        <v>0</v>
      </c>
      <c r="H23">
        <f>kar_lowdigits[[#This Row],[Schoolbook]]/1000000</f>
        <v>3.965433E-3</v>
      </c>
      <c r="I23">
        <f>kar_lowdigits[[#This Row],[Karatsuba]]/1000000</f>
        <v>0.23789882800000001</v>
      </c>
      <c r="J23">
        <f>kar_lowdigits[[#This Row],[Hybrid]]/1000000</f>
        <v>3.9744569999999998E-3</v>
      </c>
      <c r="K23">
        <f>kar_lowdigits[[#This Row],[Karatsuba]]/kar_lowdigits[[#This Row],[Schoolbook]]</f>
        <v>59.993152828455308</v>
      </c>
      <c r="L23">
        <f>kar_lowdigits[[#This Row],[Hybrid]]/kar_lowdigits[[#This Row],[Schoolbook]]</f>
        <v>1.0022756657343599</v>
      </c>
      <c r="M23" t="s">
        <v>8</v>
      </c>
    </row>
    <row r="24" spans="1:13" x14ac:dyDescent="0.35">
      <c r="A24">
        <v>23</v>
      </c>
      <c r="B24">
        <v>32</v>
      </c>
      <c r="D24">
        <v>4231.9489999999996</v>
      </c>
      <c r="E24">
        <v>255352.34400000001</v>
      </c>
      <c r="F24">
        <v>4218.9939999999997</v>
      </c>
      <c r="G24">
        <f>kar_lowdigits[[#This Row],[Native]]/1000000</f>
        <v>0</v>
      </c>
      <c r="H24">
        <f>kar_lowdigits[[#This Row],[Schoolbook]]/1000000</f>
        <v>4.2319489999999996E-3</v>
      </c>
      <c r="I24">
        <f>kar_lowdigits[[#This Row],[Karatsuba]]/1000000</f>
        <v>0.25535234400000001</v>
      </c>
      <c r="J24">
        <f>kar_lowdigits[[#This Row],[Hybrid]]/1000000</f>
        <v>4.2189939999999993E-3</v>
      </c>
      <c r="K24">
        <f>kar_lowdigits[[#This Row],[Karatsuba]]/kar_lowdigits[[#This Row],[Schoolbook]]</f>
        <v>60.339182726445905</v>
      </c>
      <c r="L24">
        <f>kar_lowdigits[[#This Row],[Hybrid]]/kar_lowdigits[[#This Row],[Schoolbook]]</f>
        <v>0.99693876273083637</v>
      </c>
      <c r="M24" t="s">
        <v>8</v>
      </c>
    </row>
    <row r="25" spans="1:13" x14ac:dyDescent="0.35">
      <c r="A25">
        <v>24</v>
      </c>
      <c r="B25">
        <v>32</v>
      </c>
      <c r="D25">
        <v>4508.8320000000003</v>
      </c>
      <c r="E25">
        <v>255258.008</v>
      </c>
      <c r="F25">
        <v>4530.38</v>
      </c>
      <c r="G25">
        <f>kar_lowdigits[[#This Row],[Native]]/1000000</f>
        <v>0</v>
      </c>
      <c r="H25">
        <f>kar_lowdigits[[#This Row],[Schoolbook]]/1000000</f>
        <v>4.5088319999999999E-3</v>
      </c>
      <c r="I25">
        <f>kar_lowdigits[[#This Row],[Karatsuba]]/1000000</f>
        <v>0.25525800799999998</v>
      </c>
      <c r="J25">
        <f>kar_lowdigits[[#This Row],[Hybrid]]/1000000</f>
        <v>4.5303800000000005E-3</v>
      </c>
      <c r="K25">
        <f>kar_lowdigits[[#This Row],[Karatsuba]]/kar_lowdigits[[#This Row],[Schoolbook]]</f>
        <v>56.612889546561057</v>
      </c>
      <c r="L25">
        <f>kar_lowdigits[[#This Row],[Hybrid]]/kar_lowdigits[[#This Row],[Schoolbook]]</f>
        <v>1.0047790647333943</v>
      </c>
      <c r="M25" t="s">
        <v>8</v>
      </c>
    </row>
    <row r="26" spans="1:13" x14ac:dyDescent="0.35">
      <c r="A26">
        <v>25</v>
      </c>
      <c r="B26">
        <v>32</v>
      </c>
      <c r="D26">
        <v>4826.6880000000001</v>
      </c>
      <c r="E26">
        <v>274416.60200000001</v>
      </c>
      <c r="F26">
        <v>4816.5649999999996</v>
      </c>
      <c r="G26">
        <f>kar_lowdigits[[#This Row],[Native]]/1000000</f>
        <v>0</v>
      </c>
      <c r="H26">
        <f>kar_lowdigits[[#This Row],[Schoolbook]]/1000000</f>
        <v>4.826688E-3</v>
      </c>
      <c r="I26">
        <f>kar_lowdigits[[#This Row],[Karatsuba]]/1000000</f>
        <v>0.27441660200000001</v>
      </c>
      <c r="J26">
        <f>kar_lowdigits[[#This Row],[Hybrid]]/1000000</f>
        <v>4.8165649999999992E-3</v>
      </c>
      <c r="K26">
        <f>kar_lowdigits[[#This Row],[Karatsuba]]/kar_lowdigits[[#This Row],[Schoolbook]]</f>
        <v>56.854017081692461</v>
      </c>
      <c r="L26">
        <f>kar_lowdigits[[#This Row],[Hybrid]]/kar_lowdigits[[#This Row],[Schoolbook]]</f>
        <v>0.99790270263998826</v>
      </c>
      <c r="M26" t="s">
        <v>8</v>
      </c>
    </row>
    <row r="27" spans="1:13" x14ac:dyDescent="0.35">
      <c r="A27">
        <v>26</v>
      </c>
      <c r="B27">
        <v>32</v>
      </c>
      <c r="D27">
        <v>5142.2359999999999</v>
      </c>
      <c r="E27">
        <v>305099.41399999999</v>
      </c>
      <c r="F27">
        <v>5145.3770000000004</v>
      </c>
      <c r="G27">
        <f>kar_lowdigits[[#This Row],[Native]]/1000000</f>
        <v>0</v>
      </c>
      <c r="H27">
        <f>kar_lowdigits[[#This Row],[Schoolbook]]/1000000</f>
        <v>5.1422359999999997E-3</v>
      </c>
      <c r="I27">
        <f>kar_lowdigits[[#This Row],[Karatsuba]]/1000000</f>
        <v>0.30509941400000001</v>
      </c>
      <c r="J27">
        <f>kar_lowdigits[[#This Row],[Hybrid]]/1000000</f>
        <v>5.1453770000000005E-3</v>
      </c>
      <c r="K27">
        <f>kar_lowdigits[[#This Row],[Karatsuba]]/kar_lowdigits[[#This Row],[Schoolbook]]</f>
        <v>59.332052048953024</v>
      </c>
      <c r="L27">
        <f>kar_lowdigits[[#This Row],[Hybrid]]/kar_lowdigits[[#This Row],[Schoolbook]]</f>
        <v>1.0006108237739382</v>
      </c>
      <c r="M27" t="s">
        <v>8</v>
      </c>
    </row>
    <row r="28" spans="1:13" x14ac:dyDescent="0.35">
      <c r="A28">
        <v>27</v>
      </c>
      <c r="B28">
        <v>32</v>
      </c>
      <c r="D28">
        <v>5449.6149999999998</v>
      </c>
      <c r="E28">
        <v>314821.875</v>
      </c>
      <c r="F28">
        <v>5447.1279999999997</v>
      </c>
      <c r="G28">
        <f>kar_lowdigits[[#This Row],[Native]]/1000000</f>
        <v>0</v>
      </c>
      <c r="H28">
        <f>kar_lowdigits[[#This Row],[Schoolbook]]/1000000</f>
        <v>5.4496149999999997E-3</v>
      </c>
      <c r="I28">
        <f>kar_lowdigits[[#This Row],[Karatsuba]]/1000000</f>
        <v>0.31482187499999997</v>
      </c>
      <c r="J28">
        <f>kar_lowdigits[[#This Row],[Hybrid]]/1000000</f>
        <v>5.4471279999999999E-3</v>
      </c>
      <c r="K28">
        <f>kar_lowdigits[[#This Row],[Karatsuba]]/kar_lowdigits[[#This Row],[Schoolbook]]</f>
        <v>57.769562620478695</v>
      </c>
      <c r="L28">
        <f>kar_lowdigits[[#This Row],[Hybrid]]/kar_lowdigits[[#This Row],[Schoolbook]]</f>
        <v>0.9995436374863178</v>
      </c>
      <c r="M28" t="s">
        <v>8</v>
      </c>
    </row>
    <row r="29" spans="1:13" x14ac:dyDescent="0.35">
      <c r="A29">
        <v>28</v>
      </c>
      <c r="B29">
        <v>32</v>
      </c>
      <c r="D29">
        <v>5789.5870000000004</v>
      </c>
      <c r="E29">
        <v>323804.88299999997</v>
      </c>
      <c r="F29">
        <v>5824.8379999999997</v>
      </c>
      <c r="G29">
        <f>kar_lowdigits[[#This Row],[Native]]/1000000</f>
        <v>0</v>
      </c>
      <c r="H29">
        <f>kar_lowdigits[[#This Row],[Schoolbook]]/1000000</f>
        <v>5.7895870000000006E-3</v>
      </c>
      <c r="I29">
        <f>kar_lowdigits[[#This Row],[Karatsuba]]/1000000</f>
        <v>0.32380488299999999</v>
      </c>
      <c r="J29">
        <f>kar_lowdigits[[#This Row],[Hybrid]]/1000000</f>
        <v>5.8248379999999997E-3</v>
      </c>
      <c r="K29">
        <f>kar_lowdigits[[#This Row],[Karatsuba]]/kar_lowdigits[[#This Row],[Schoolbook]]</f>
        <v>55.928839656438349</v>
      </c>
      <c r="L29">
        <f>kar_lowdigits[[#This Row],[Hybrid]]/kar_lowdigits[[#This Row],[Schoolbook]]</f>
        <v>1.0060886899186416</v>
      </c>
      <c r="M29" t="s">
        <v>8</v>
      </c>
    </row>
    <row r="30" spans="1:13" x14ac:dyDescent="0.35">
      <c r="A30">
        <v>29</v>
      </c>
      <c r="B30">
        <v>32</v>
      </c>
      <c r="D30">
        <v>6125.299</v>
      </c>
      <c r="E30">
        <v>335240.625</v>
      </c>
      <c r="F30">
        <v>6323.81</v>
      </c>
      <c r="G30">
        <f>kar_lowdigits[[#This Row],[Native]]/1000000</f>
        <v>0</v>
      </c>
      <c r="H30">
        <f>kar_lowdigits[[#This Row],[Schoolbook]]/1000000</f>
        <v>6.1252989999999998E-3</v>
      </c>
      <c r="I30">
        <f>kar_lowdigits[[#This Row],[Karatsuba]]/1000000</f>
        <v>0.33524062500000001</v>
      </c>
      <c r="J30">
        <f>kar_lowdigits[[#This Row],[Hybrid]]/1000000</f>
        <v>6.32381E-3</v>
      </c>
      <c r="K30">
        <f>kar_lowdigits[[#This Row],[Karatsuba]]/kar_lowdigits[[#This Row],[Schoolbook]]</f>
        <v>54.730491523760719</v>
      </c>
      <c r="L30">
        <f>kar_lowdigits[[#This Row],[Hybrid]]/kar_lowdigits[[#This Row],[Schoolbook]]</f>
        <v>1.0324083771257535</v>
      </c>
      <c r="M30" t="s">
        <v>8</v>
      </c>
    </row>
    <row r="31" spans="1:13" x14ac:dyDescent="0.35">
      <c r="A31">
        <v>30</v>
      </c>
      <c r="B31">
        <v>32</v>
      </c>
      <c r="D31">
        <v>6851.0559999999996</v>
      </c>
      <c r="E31">
        <v>367196.28899999999</v>
      </c>
      <c r="F31">
        <v>6660.26</v>
      </c>
      <c r="G31">
        <f>kar_lowdigits[[#This Row],[Native]]/1000000</f>
        <v>0</v>
      </c>
      <c r="H31">
        <f>kar_lowdigits[[#This Row],[Schoolbook]]/1000000</f>
        <v>6.8510559999999995E-3</v>
      </c>
      <c r="I31">
        <f>kar_lowdigits[[#This Row],[Karatsuba]]/1000000</f>
        <v>0.36719628900000001</v>
      </c>
      <c r="J31">
        <f>kar_lowdigits[[#This Row],[Hybrid]]/1000000</f>
        <v>6.6602600000000003E-3</v>
      </c>
      <c r="K31">
        <f>kar_lowdigits[[#This Row],[Karatsuba]]/kar_lowdigits[[#This Row],[Schoolbook]]</f>
        <v>53.597035114002864</v>
      </c>
      <c r="L31">
        <f>kar_lowdigits[[#This Row],[Hybrid]]/kar_lowdigits[[#This Row],[Schoolbook]]</f>
        <v>0.97215086258235239</v>
      </c>
      <c r="M31" t="s">
        <v>8</v>
      </c>
    </row>
    <row r="32" spans="1:13" x14ac:dyDescent="0.35">
      <c r="A32">
        <v>31</v>
      </c>
      <c r="B32">
        <v>32</v>
      </c>
      <c r="D32">
        <v>6886.7550000000001</v>
      </c>
      <c r="E32">
        <v>387431.83600000001</v>
      </c>
      <c r="F32">
        <v>6959.375</v>
      </c>
      <c r="G32">
        <f>kar_lowdigits[[#This Row],[Native]]/1000000</f>
        <v>0</v>
      </c>
      <c r="H32">
        <f>kar_lowdigits[[#This Row],[Schoolbook]]/1000000</f>
        <v>6.8867550000000005E-3</v>
      </c>
      <c r="I32">
        <f>kar_lowdigits[[#This Row],[Karatsuba]]/1000000</f>
        <v>0.38743183600000003</v>
      </c>
      <c r="J32">
        <f>kar_lowdigits[[#This Row],[Hybrid]]/1000000</f>
        <v>6.9593750000000003E-3</v>
      </c>
      <c r="K32">
        <f>kar_lowdigits[[#This Row],[Karatsuba]]/kar_lowdigits[[#This Row],[Schoolbook]]</f>
        <v>56.257531449862817</v>
      </c>
      <c r="L32">
        <f>kar_lowdigits[[#This Row],[Hybrid]]/kar_lowdigits[[#This Row],[Schoolbook]]</f>
        <v>1.0105448792646174</v>
      </c>
      <c r="M32" t="s">
        <v>8</v>
      </c>
    </row>
    <row r="33" spans="1:13" x14ac:dyDescent="0.35">
      <c r="A33">
        <v>32</v>
      </c>
      <c r="B33">
        <v>32</v>
      </c>
      <c r="D33">
        <v>7228.6679999999997</v>
      </c>
      <c r="E33">
        <v>393603.90600000002</v>
      </c>
      <c r="F33">
        <v>7854.23</v>
      </c>
      <c r="G33">
        <f>kar_lowdigits[[#This Row],[Native]]/1000000</f>
        <v>0</v>
      </c>
      <c r="H33">
        <f>kar_lowdigits[[#This Row],[Schoolbook]]/1000000</f>
        <v>7.2286679999999997E-3</v>
      </c>
      <c r="I33">
        <f>kar_lowdigits[[#This Row],[Karatsuba]]/1000000</f>
        <v>0.393603906</v>
      </c>
      <c r="J33">
        <f>kar_lowdigits[[#This Row],[Hybrid]]/1000000</f>
        <v>7.8542300000000002E-3</v>
      </c>
      <c r="K33">
        <f>kar_lowdigits[[#This Row],[Karatsuba]]/kar_lowdigits[[#This Row],[Schoolbook]]</f>
        <v>54.450405800902743</v>
      </c>
      <c r="L33">
        <f>kar_lowdigits[[#This Row],[Hybrid]]/kar_lowdigits[[#This Row],[Schoolbook]]</f>
        <v>1.0865390414942282</v>
      </c>
      <c r="M33" t="s">
        <v>8</v>
      </c>
    </row>
    <row r="34" spans="1:13" x14ac:dyDescent="0.35">
      <c r="A34">
        <v>33</v>
      </c>
      <c r="B34">
        <v>32</v>
      </c>
      <c r="D34">
        <v>7660.04</v>
      </c>
      <c r="E34">
        <v>488215.234</v>
      </c>
      <c r="F34">
        <v>14359.766</v>
      </c>
      <c r="G34">
        <f>kar_lowdigits[[#This Row],[Native]]/1000000</f>
        <v>0</v>
      </c>
      <c r="H34">
        <f>kar_lowdigits[[#This Row],[Schoolbook]]/1000000</f>
        <v>7.6600399999999999E-3</v>
      </c>
      <c r="I34">
        <f>kar_lowdigits[[#This Row],[Karatsuba]]/1000000</f>
        <v>0.488215234</v>
      </c>
      <c r="J34">
        <f>kar_lowdigits[[#This Row],[Hybrid]]/1000000</f>
        <v>1.4359766E-2</v>
      </c>
      <c r="K34">
        <f>kar_lowdigits[[#This Row],[Karatsuba]]/kar_lowdigits[[#This Row],[Schoolbook]]</f>
        <v>63.73533741338165</v>
      </c>
      <c r="L34">
        <f>kar_lowdigits[[#This Row],[Hybrid]]/kar_lowdigits[[#This Row],[Schoolbook]]</f>
        <v>1.874633291732158</v>
      </c>
      <c r="M34" t="s">
        <v>8</v>
      </c>
    </row>
    <row r="35" spans="1:13" x14ac:dyDescent="0.35">
      <c r="A35">
        <v>34</v>
      </c>
      <c r="B35">
        <v>32</v>
      </c>
      <c r="D35">
        <v>8180.7560000000003</v>
      </c>
      <c r="E35">
        <v>485849.21899999998</v>
      </c>
      <c r="F35">
        <v>15404.529</v>
      </c>
      <c r="G35">
        <f>kar_lowdigits[[#This Row],[Native]]/1000000</f>
        <v>0</v>
      </c>
      <c r="H35">
        <f>kar_lowdigits[[#This Row],[Schoolbook]]/1000000</f>
        <v>8.1807560000000008E-3</v>
      </c>
      <c r="I35">
        <f>kar_lowdigits[[#This Row],[Karatsuba]]/1000000</f>
        <v>0.485849219</v>
      </c>
      <c r="J35">
        <f>kar_lowdigits[[#This Row],[Hybrid]]/1000000</f>
        <v>1.5404529E-2</v>
      </c>
      <c r="K35">
        <f>kar_lowdigits[[#This Row],[Karatsuba]]/kar_lowdigits[[#This Row],[Schoolbook]]</f>
        <v>59.389281259580407</v>
      </c>
      <c r="L35">
        <f>kar_lowdigits[[#This Row],[Hybrid]]/kar_lowdigits[[#This Row],[Schoolbook]]</f>
        <v>1.8830202245367054</v>
      </c>
      <c r="M35" t="s">
        <v>8</v>
      </c>
    </row>
    <row r="36" spans="1:13" x14ac:dyDescent="0.35">
      <c r="A36">
        <v>35</v>
      </c>
      <c r="B36">
        <v>32</v>
      </c>
      <c r="D36">
        <v>8956.7139999999999</v>
      </c>
      <c r="E36">
        <v>538339.06200000003</v>
      </c>
      <c r="F36">
        <v>16774.938999999998</v>
      </c>
      <c r="G36">
        <f>kar_lowdigits[[#This Row],[Native]]/1000000</f>
        <v>0</v>
      </c>
      <c r="H36">
        <f>kar_lowdigits[[#This Row],[Schoolbook]]/1000000</f>
        <v>8.9567139999999993E-3</v>
      </c>
      <c r="I36">
        <f>kar_lowdigits[[#This Row],[Karatsuba]]/1000000</f>
        <v>0.53833906200000003</v>
      </c>
      <c r="J36">
        <f>kar_lowdigits[[#This Row],[Hybrid]]/1000000</f>
        <v>1.6774938999999999E-2</v>
      </c>
      <c r="K36">
        <f>kar_lowdigits[[#This Row],[Karatsuba]]/kar_lowdigits[[#This Row],[Schoolbook]]</f>
        <v>60.104527396989567</v>
      </c>
      <c r="L36">
        <f>kar_lowdigits[[#This Row],[Hybrid]]/kar_lowdigits[[#This Row],[Schoolbook]]</f>
        <v>1.8728898790337616</v>
      </c>
      <c r="M36" t="s">
        <v>8</v>
      </c>
    </row>
    <row r="37" spans="1:13" x14ac:dyDescent="0.35">
      <c r="A37">
        <v>36</v>
      </c>
      <c r="B37">
        <v>32</v>
      </c>
      <c r="D37">
        <v>8937.384</v>
      </c>
      <c r="E37">
        <v>546561.32799999998</v>
      </c>
      <c r="F37">
        <v>15932.812</v>
      </c>
      <c r="G37">
        <f>kar_lowdigits[[#This Row],[Native]]/1000000</f>
        <v>0</v>
      </c>
      <c r="H37">
        <f>kar_lowdigits[[#This Row],[Schoolbook]]/1000000</f>
        <v>8.9373839999999996E-3</v>
      </c>
      <c r="I37">
        <f>kar_lowdigits[[#This Row],[Karatsuba]]/1000000</f>
        <v>0.54656132800000001</v>
      </c>
      <c r="J37">
        <f>kar_lowdigits[[#This Row],[Hybrid]]/1000000</f>
        <v>1.5932812000000001E-2</v>
      </c>
      <c r="K37">
        <f>kar_lowdigits[[#This Row],[Karatsuba]]/kar_lowdigits[[#This Row],[Schoolbook]]</f>
        <v>61.154508746631002</v>
      </c>
      <c r="L37">
        <f>kar_lowdigits[[#This Row],[Hybrid]]/kar_lowdigits[[#This Row],[Schoolbook]]</f>
        <v>1.7827153896486936</v>
      </c>
      <c r="M37" t="s">
        <v>8</v>
      </c>
    </row>
    <row r="38" spans="1:13" x14ac:dyDescent="0.35">
      <c r="A38">
        <v>37</v>
      </c>
      <c r="B38">
        <v>32</v>
      </c>
      <c r="D38">
        <v>9520.1170000000002</v>
      </c>
      <c r="E38">
        <v>560132.03099999996</v>
      </c>
      <c r="F38">
        <v>16338.367</v>
      </c>
      <c r="G38">
        <f>kar_lowdigits[[#This Row],[Native]]/1000000</f>
        <v>0</v>
      </c>
      <c r="H38">
        <f>kar_lowdigits[[#This Row],[Schoolbook]]/1000000</f>
        <v>9.5201169999999998E-3</v>
      </c>
      <c r="I38">
        <f>kar_lowdigits[[#This Row],[Karatsuba]]/1000000</f>
        <v>0.56013203099999997</v>
      </c>
      <c r="J38">
        <f>kar_lowdigits[[#This Row],[Hybrid]]/1000000</f>
        <v>1.6338366999999999E-2</v>
      </c>
      <c r="K38">
        <f>kar_lowdigits[[#This Row],[Karatsuba]]/kar_lowdigits[[#This Row],[Schoolbook]]</f>
        <v>58.836675116492785</v>
      </c>
      <c r="L38">
        <f>kar_lowdigits[[#This Row],[Hybrid]]/kar_lowdigits[[#This Row],[Schoolbook]]</f>
        <v>1.7161939291292323</v>
      </c>
      <c r="M38" t="s">
        <v>8</v>
      </c>
    </row>
    <row r="39" spans="1:13" x14ac:dyDescent="0.35">
      <c r="A39">
        <v>38</v>
      </c>
      <c r="B39">
        <v>32</v>
      </c>
      <c r="D39">
        <v>9925.3169999999991</v>
      </c>
      <c r="E39">
        <v>569246.48400000005</v>
      </c>
      <c r="F39">
        <v>16807.494999999999</v>
      </c>
      <c r="G39">
        <f>kar_lowdigits[[#This Row],[Native]]/1000000</f>
        <v>0</v>
      </c>
      <c r="H39">
        <f>kar_lowdigits[[#This Row],[Schoolbook]]/1000000</f>
        <v>9.9253169999999995E-3</v>
      </c>
      <c r="I39">
        <f>kar_lowdigits[[#This Row],[Karatsuba]]/1000000</f>
        <v>0.56924648400000011</v>
      </c>
      <c r="J39">
        <f>kar_lowdigits[[#This Row],[Hybrid]]/1000000</f>
        <v>1.6807494999999999E-2</v>
      </c>
      <c r="K39">
        <f>kar_lowdigits[[#This Row],[Karatsuba]]/kar_lowdigits[[#This Row],[Schoolbook]]</f>
        <v>57.352977642930711</v>
      </c>
      <c r="L39">
        <f>kar_lowdigits[[#This Row],[Hybrid]]/kar_lowdigits[[#This Row],[Schoolbook]]</f>
        <v>1.6933962915239886</v>
      </c>
      <c r="M39" t="s">
        <v>8</v>
      </c>
    </row>
    <row r="40" spans="1:13" x14ac:dyDescent="0.35">
      <c r="A40">
        <v>39</v>
      </c>
      <c r="B40">
        <v>32</v>
      </c>
      <c r="D40">
        <v>10222.014999999999</v>
      </c>
      <c r="E40">
        <v>603354.68799999997</v>
      </c>
      <c r="F40">
        <v>17289.539000000001</v>
      </c>
      <c r="G40">
        <f>kar_lowdigits[[#This Row],[Native]]/1000000</f>
        <v>0</v>
      </c>
      <c r="H40">
        <f>kar_lowdigits[[#This Row],[Schoolbook]]/1000000</f>
        <v>1.0222014999999999E-2</v>
      </c>
      <c r="I40">
        <f>kar_lowdigits[[#This Row],[Karatsuba]]/1000000</f>
        <v>0.60335468799999992</v>
      </c>
      <c r="J40">
        <f>kar_lowdigits[[#This Row],[Hybrid]]/1000000</f>
        <v>1.7289539E-2</v>
      </c>
      <c r="K40">
        <f>kar_lowdigits[[#This Row],[Karatsuba]]/kar_lowdigits[[#This Row],[Schoolbook]]</f>
        <v>59.025024713816208</v>
      </c>
      <c r="L40">
        <f>kar_lowdigits[[#This Row],[Hybrid]]/kar_lowdigits[[#This Row],[Schoolbook]]</f>
        <v>1.6914022333170124</v>
      </c>
      <c r="M40" t="s">
        <v>8</v>
      </c>
    </row>
    <row r="41" spans="1:13" x14ac:dyDescent="0.35">
      <c r="A41">
        <v>40</v>
      </c>
      <c r="B41">
        <v>32</v>
      </c>
      <c r="D41">
        <v>10871.093999999999</v>
      </c>
      <c r="E41">
        <v>623239.45299999998</v>
      </c>
      <c r="F41">
        <v>17989.111000000001</v>
      </c>
      <c r="G41">
        <f>kar_lowdigits[[#This Row],[Native]]/1000000</f>
        <v>0</v>
      </c>
      <c r="H41">
        <f>kar_lowdigits[[#This Row],[Schoolbook]]/1000000</f>
        <v>1.0871094E-2</v>
      </c>
      <c r="I41">
        <f>kar_lowdigits[[#This Row],[Karatsuba]]/1000000</f>
        <v>0.62323945299999994</v>
      </c>
      <c r="J41">
        <f>kar_lowdigits[[#This Row],[Hybrid]]/1000000</f>
        <v>1.7989111000000002E-2</v>
      </c>
      <c r="K41">
        <f>kar_lowdigits[[#This Row],[Karatsuba]]/kar_lowdigits[[#This Row],[Schoolbook]]</f>
        <v>57.329966330895495</v>
      </c>
      <c r="L41">
        <f>kar_lowdigits[[#This Row],[Hybrid]]/kar_lowdigits[[#This Row],[Schoolbook]]</f>
        <v>1.6547654725458176</v>
      </c>
      <c r="M41" t="s">
        <v>8</v>
      </c>
    </row>
    <row r="42" spans="1:13" x14ac:dyDescent="0.35">
      <c r="A42">
        <v>41</v>
      </c>
      <c r="B42">
        <v>32</v>
      </c>
      <c r="D42">
        <v>12403.394</v>
      </c>
      <c r="E42">
        <v>667253.125</v>
      </c>
      <c r="F42">
        <v>18349.938999999998</v>
      </c>
      <c r="G42">
        <f>kar_lowdigits[[#This Row],[Native]]/1000000</f>
        <v>0</v>
      </c>
      <c r="H42">
        <f>kar_lowdigits[[#This Row],[Schoolbook]]/1000000</f>
        <v>1.2403394E-2</v>
      </c>
      <c r="I42">
        <f>kar_lowdigits[[#This Row],[Karatsuba]]/1000000</f>
        <v>0.667253125</v>
      </c>
      <c r="J42">
        <f>kar_lowdigits[[#This Row],[Hybrid]]/1000000</f>
        <v>1.8349938999999999E-2</v>
      </c>
      <c r="K42">
        <f>kar_lowdigits[[#This Row],[Karatsuba]]/kar_lowdigits[[#This Row],[Schoolbook]]</f>
        <v>53.796011398170535</v>
      </c>
      <c r="L42">
        <f>kar_lowdigits[[#This Row],[Hybrid]]/kar_lowdigits[[#This Row],[Schoolbook]]</f>
        <v>1.4794288563275502</v>
      </c>
      <c r="M42" t="s">
        <v>8</v>
      </c>
    </row>
    <row r="43" spans="1:13" x14ac:dyDescent="0.35">
      <c r="A43">
        <v>42</v>
      </c>
      <c r="B43">
        <v>32</v>
      </c>
      <c r="D43">
        <v>11816.547</v>
      </c>
      <c r="E43">
        <v>661537.5</v>
      </c>
      <c r="F43">
        <v>19273.192999999999</v>
      </c>
      <c r="G43">
        <f>kar_lowdigits[[#This Row],[Native]]/1000000</f>
        <v>0</v>
      </c>
      <c r="H43">
        <f>kar_lowdigits[[#This Row],[Schoolbook]]/1000000</f>
        <v>1.1816547E-2</v>
      </c>
      <c r="I43">
        <f>kar_lowdigits[[#This Row],[Karatsuba]]/1000000</f>
        <v>0.6615375</v>
      </c>
      <c r="J43">
        <f>kar_lowdigits[[#This Row],[Hybrid]]/1000000</f>
        <v>1.9273193000000001E-2</v>
      </c>
      <c r="K43">
        <f>kar_lowdigits[[#This Row],[Karatsuba]]/kar_lowdigits[[#This Row],[Schoolbook]]</f>
        <v>55.983994308997374</v>
      </c>
      <c r="L43">
        <f>kar_lowdigits[[#This Row],[Hybrid]]/kar_lowdigits[[#This Row],[Schoolbook]]</f>
        <v>1.6310342606854606</v>
      </c>
      <c r="M43" t="s">
        <v>8</v>
      </c>
    </row>
    <row r="44" spans="1:13" x14ac:dyDescent="0.35">
      <c r="A44">
        <v>43</v>
      </c>
      <c r="B44">
        <v>32</v>
      </c>
      <c r="D44">
        <v>12398.73</v>
      </c>
      <c r="E44">
        <v>669740.625</v>
      </c>
      <c r="F44">
        <v>19387.39</v>
      </c>
      <c r="G44">
        <f>kar_lowdigits[[#This Row],[Native]]/1000000</f>
        <v>0</v>
      </c>
      <c r="H44">
        <f>kar_lowdigits[[#This Row],[Schoolbook]]/1000000</f>
        <v>1.239873E-2</v>
      </c>
      <c r="I44">
        <f>kar_lowdigits[[#This Row],[Karatsuba]]/1000000</f>
        <v>0.66974062499999998</v>
      </c>
      <c r="J44">
        <f>kar_lowdigits[[#This Row],[Hybrid]]/1000000</f>
        <v>1.9387390000000001E-2</v>
      </c>
      <c r="K44">
        <f>kar_lowdigits[[#This Row],[Karatsuba]]/kar_lowdigits[[#This Row],[Schoolbook]]</f>
        <v>54.016873099099669</v>
      </c>
      <c r="L44">
        <f>kar_lowdigits[[#This Row],[Hybrid]]/kar_lowdigits[[#This Row],[Schoolbook]]</f>
        <v>1.5636593425294365</v>
      </c>
      <c r="M44" t="s">
        <v>8</v>
      </c>
    </row>
    <row r="45" spans="1:13" x14ac:dyDescent="0.35">
      <c r="A45">
        <v>44</v>
      </c>
      <c r="B45">
        <v>32</v>
      </c>
      <c r="D45">
        <v>12752.136</v>
      </c>
      <c r="E45">
        <v>727661.32799999998</v>
      </c>
      <c r="F45">
        <v>20284.044999999998</v>
      </c>
      <c r="G45">
        <f>kar_lowdigits[[#This Row],[Native]]/1000000</f>
        <v>0</v>
      </c>
      <c r="H45">
        <f>kar_lowdigits[[#This Row],[Schoolbook]]/1000000</f>
        <v>1.2752136000000001E-2</v>
      </c>
      <c r="I45">
        <f>kar_lowdigits[[#This Row],[Karatsuba]]/1000000</f>
        <v>0.72766132799999994</v>
      </c>
      <c r="J45">
        <f>kar_lowdigits[[#This Row],[Hybrid]]/1000000</f>
        <v>2.0284044999999997E-2</v>
      </c>
      <c r="K45">
        <f>kar_lowdigits[[#This Row],[Karatsuba]]/kar_lowdigits[[#This Row],[Schoolbook]]</f>
        <v>57.061917156466961</v>
      </c>
      <c r="L45">
        <f>kar_lowdigits[[#This Row],[Hybrid]]/kar_lowdigits[[#This Row],[Schoolbook]]</f>
        <v>1.5906390113781721</v>
      </c>
      <c r="M45" t="s">
        <v>8</v>
      </c>
    </row>
    <row r="46" spans="1:13" x14ac:dyDescent="0.35">
      <c r="A46">
        <v>45</v>
      </c>
      <c r="B46">
        <v>32</v>
      </c>
      <c r="D46">
        <v>13572.9</v>
      </c>
      <c r="E46">
        <v>744966.01599999995</v>
      </c>
      <c r="F46">
        <v>20716.821</v>
      </c>
      <c r="G46">
        <f>kar_lowdigits[[#This Row],[Native]]/1000000</f>
        <v>0</v>
      </c>
      <c r="H46">
        <f>kar_lowdigits[[#This Row],[Schoolbook]]/1000000</f>
        <v>1.3572899999999999E-2</v>
      </c>
      <c r="I46">
        <f>kar_lowdigits[[#This Row],[Karatsuba]]/1000000</f>
        <v>0.7449660159999999</v>
      </c>
      <c r="J46">
        <f>kar_lowdigits[[#This Row],[Hybrid]]/1000000</f>
        <v>2.0716821E-2</v>
      </c>
      <c r="K46">
        <f>kar_lowdigits[[#This Row],[Karatsuba]]/kar_lowdigits[[#This Row],[Schoolbook]]</f>
        <v>54.886281929432911</v>
      </c>
      <c r="L46">
        <f>kar_lowdigits[[#This Row],[Hybrid]]/kar_lowdigits[[#This Row],[Schoolbook]]</f>
        <v>1.5263371129235461</v>
      </c>
      <c r="M46" t="s">
        <v>8</v>
      </c>
    </row>
    <row r="47" spans="1:13" x14ac:dyDescent="0.35">
      <c r="A47">
        <v>46</v>
      </c>
      <c r="B47">
        <v>32</v>
      </c>
      <c r="D47">
        <v>14165.259</v>
      </c>
      <c r="E47">
        <v>768366.40599999996</v>
      </c>
      <c r="F47">
        <v>20696.375</v>
      </c>
      <c r="G47">
        <f>kar_lowdigits[[#This Row],[Native]]/1000000</f>
        <v>0</v>
      </c>
      <c r="H47">
        <f>kar_lowdigits[[#This Row],[Schoolbook]]/1000000</f>
        <v>1.4165258999999999E-2</v>
      </c>
      <c r="I47">
        <f>kar_lowdigits[[#This Row],[Karatsuba]]/1000000</f>
        <v>0.76836640599999995</v>
      </c>
      <c r="J47">
        <f>kar_lowdigits[[#This Row],[Hybrid]]/1000000</f>
        <v>2.0696374999999999E-2</v>
      </c>
      <c r="K47">
        <f>kar_lowdigits[[#This Row],[Karatsuba]]/kar_lowdigits[[#This Row],[Schoolbook]]</f>
        <v>54.243018500402989</v>
      </c>
      <c r="L47">
        <f>kar_lowdigits[[#This Row],[Hybrid]]/kar_lowdigits[[#This Row],[Schoolbook]]</f>
        <v>1.4610657666054676</v>
      </c>
      <c r="M47" t="s">
        <v>8</v>
      </c>
    </row>
    <row r="48" spans="1:13" x14ac:dyDescent="0.35">
      <c r="A48">
        <v>47</v>
      </c>
      <c r="B48">
        <v>32</v>
      </c>
      <c r="D48">
        <v>14692.31</v>
      </c>
      <c r="E48">
        <v>822973.43799999997</v>
      </c>
      <c r="F48">
        <v>22128.748</v>
      </c>
      <c r="G48">
        <f>kar_lowdigits[[#This Row],[Native]]/1000000</f>
        <v>0</v>
      </c>
      <c r="H48">
        <f>kar_lowdigits[[#This Row],[Schoolbook]]/1000000</f>
        <v>1.469231E-2</v>
      </c>
      <c r="I48">
        <f>kar_lowdigits[[#This Row],[Karatsuba]]/1000000</f>
        <v>0.822973438</v>
      </c>
      <c r="J48">
        <f>kar_lowdigits[[#This Row],[Hybrid]]/1000000</f>
        <v>2.2128748E-2</v>
      </c>
      <c r="K48">
        <f>kar_lowdigits[[#This Row],[Karatsuba]]/kar_lowdigits[[#This Row],[Schoolbook]]</f>
        <v>56.013890123472756</v>
      </c>
      <c r="L48">
        <f>kar_lowdigits[[#This Row],[Hybrid]]/kar_lowdigits[[#This Row],[Schoolbook]]</f>
        <v>1.5061449152651967</v>
      </c>
      <c r="M48" t="s">
        <v>8</v>
      </c>
    </row>
    <row r="49" spans="1:13" x14ac:dyDescent="0.35">
      <c r="A49">
        <v>48</v>
      </c>
      <c r="B49">
        <v>32</v>
      </c>
      <c r="D49">
        <v>15157.886</v>
      </c>
      <c r="E49">
        <v>743722.26599999995</v>
      </c>
      <c r="F49">
        <v>22148.865000000002</v>
      </c>
      <c r="G49">
        <f>kar_lowdigits[[#This Row],[Native]]/1000000</f>
        <v>0</v>
      </c>
      <c r="H49">
        <f>kar_lowdigits[[#This Row],[Schoolbook]]/1000000</f>
        <v>1.5157886000000001E-2</v>
      </c>
      <c r="I49">
        <f>kar_lowdigits[[#This Row],[Karatsuba]]/1000000</f>
        <v>0.74372226599999991</v>
      </c>
      <c r="J49">
        <f>kar_lowdigits[[#This Row],[Hybrid]]/1000000</f>
        <v>2.2148865E-2</v>
      </c>
      <c r="K49">
        <f>kar_lowdigits[[#This Row],[Karatsuba]]/kar_lowdigits[[#This Row],[Schoolbook]]</f>
        <v>49.065038884709907</v>
      </c>
      <c r="L49">
        <f>kar_lowdigits[[#This Row],[Hybrid]]/kar_lowdigits[[#This Row],[Schoolbook]]</f>
        <v>1.4612106859756038</v>
      </c>
      <c r="M49" t="s">
        <v>8</v>
      </c>
    </row>
    <row r="50" spans="1:13" x14ac:dyDescent="0.35">
      <c r="A50">
        <v>49</v>
      </c>
      <c r="B50">
        <v>32</v>
      </c>
      <c r="D50">
        <v>16430.492999999999</v>
      </c>
      <c r="E50">
        <v>895850.78099999996</v>
      </c>
      <c r="F50">
        <v>25049.951000000001</v>
      </c>
      <c r="G50">
        <f>kar_lowdigits[[#This Row],[Native]]/1000000</f>
        <v>0</v>
      </c>
      <c r="H50">
        <f>kar_lowdigits[[#This Row],[Schoolbook]]/1000000</f>
        <v>1.6430492999999997E-2</v>
      </c>
      <c r="I50">
        <f>kar_lowdigits[[#This Row],[Karatsuba]]/1000000</f>
        <v>0.89585078099999993</v>
      </c>
      <c r="J50">
        <f>kar_lowdigits[[#This Row],[Hybrid]]/1000000</f>
        <v>2.5049951000000001E-2</v>
      </c>
      <c r="K50">
        <f>kar_lowdigits[[#This Row],[Karatsuba]]/kar_lowdigits[[#This Row],[Schoolbook]]</f>
        <v>54.523670166196474</v>
      </c>
      <c r="L50">
        <f>kar_lowdigits[[#This Row],[Hybrid]]/kar_lowdigits[[#This Row],[Schoolbook]]</f>
        <v>1.5246013007643777</v>
      </c>
      <c r="M50" t="s">
        <v>8</v>
      </c>
    </row>
    <row r="51" spans="1:13" x14ac:dyDescent="0.35">
      <c r="A51">
        <v>50</v>
      </c>
      <c r="B51">
        <v>32</v>
      </c>
      <c r="D51">
        <v>16971.899000000001</v>
      </c>
      <c r="E51">
        <v>975499.21900000004</v>
      </c>
      <c r="F51">
        <v>25090.795999999998</v>
      </c>
      <c r="G51">
        <f>kar_lowdigits[[#This Row],[Native]]/1000000</f>
        <v>0</v>
      </c>
      <c r="H51">
        <f>kar_lowdigits[[#This Row],[Schoolbook]]/1000000</f>
        <v>1.6971899000000002E-2</v>
      </c>
      <c r="I51">
        <f>kar_lowdigits[[#This Row],[Karatsuba]]/1000000</f>
        <v>0.97549921900000003</v>
      </c>
      <c r="J51">
        <f>kar_lowdigits[[#This Row],[Hybrid]]/1000000</f>
        <v>2.5090795999999999E-2</v>
      </c>
      <c r="K51">
        <f>kar_lowdigits[[#This Row],[Karatsuba]]/kar_lowdigits[[#This Row],[Schoolbook]]</f>
        <v>57.477317005009276</v>
      </c>
      <c r="L51">
        <f>kar_lowdigits[[#This Row],[Hybrid]]/kar_lowdigits[[#This Row],[Schoolbook]]</f>
        <v>1.4783729269187849</v>
      </c>
      <c r="M51" t="s">
        <v>8</v>
      </c>
    </row>
    <row r="52" spans="1:13" x14ac:dyDescent="0.35">
      <c r="A52">
        <v>51</v>
      </c>
      <c r="B52">
        <v>32</v>
      </c>
      <c r="D52">
        <v>17896.289000000001</v>
      </c>
      <c r="E52">
        <v>889065.625</v>
      </c>
      <c r="F52">
        <v>24170.02</v>
      </c>
      <c r="G52">
        <f>kar_lowdigits[[#This Row],[Native]]/1000000</f>
        <v>0</v>
      </c>
      <c r="H52">
        <f>kar_lowdigits[[#This Row],[Schoolbook]]/1000000</f>
        <v>1.7896288999999999E-2</v>
      </c>
      <c r="I52">
        <f>kar_lowdigits[[#This Row],[Karatsuba]]/1000000</f>
        <v>0.88906562499999997</v>
      </c>
      <c r="J52">
        <f>kar_lowdigits[[#This Row],[Hybrid]]/1000000</f>
        <v>2.417002E-2</v>
      </c>
      <c r="K52">
        <f>kar_lowdigits[[#This Row],[Karatsuba]]/kar_lowdigits[[#This Row],[Schoolbook]]</f>
        <v>49.678769995276674</v>
      </c>
      <c r="L52">
        <f>kar_lowdigits[[#This Row],[Hybrid]]/kar_lowdigits[[#This Row],[Schoolbook]]</f>
        <v>1.3505604430058098</v>
      </c>
      <c r="M52" t="s">
        <v>8</v>
      </c>
    </row>
    <row r="53" spans="1:13" x14ac:dyDescent="0.35">
      <c r="A53">
        <v>52</v>
      </c>
      <c r="B53">
        <v>32</v>
      </c>
      <c r="D53">
        <v>17455.64</v>
      </c>
      <c r="E53">
        <v>902157.03099999996</v>
      </c>
      <c r="F53">
        <v>25791.478999999999</v>
      </c>
      <c r="G53">
        <f>kar_lowdigits[[#This Row],[Native]]/1000000</f>
        <v>0</v>
      </c>
      <c r="H53">
        <f>kar_lowdigits[[#This Row],[Schoolbook]]/1000000</f>
        <v>1.7455639999999998E-2</v>
      </c>
      <c r="I53">
        <f>kar_lowdigits[[#This Row],[Karatsuba]]/1000000</f>
        <v>0.902157031</v>
      </c>
      <c r="J53">
        <f>kar_lowdigits[[#This Row],[Hybrid]]/1000000</f>
        <v>2.5791478999999999E-2</v>
      </c>
      <c r="K53">
        <f>kar_lowdigits[[#This Row],[Karatsuba]]/kar_lowdigits[[#This Row],[Schoolbook]]</f>
        <v>51.682838956348782</v>
      </c>
      <c r="L53">
        <f>kar_lowdigits[[#This Row],[Hybrid]]/kar_lowdigits[[#This Row],[Schoolbook]]</f>
        <v>1.4775441633764217</v>
      </c>
      <c r="M53" t="s">
        <v>8</v>
      </c>
    </row>
    <row r="54" spans="1:13" x14ac:dyDescent="0.35">
      <c r="A54">
        <v>53</v>
      </c>
      <c r="B54">
        <v>32</v>
      </c>
      <c r="D54">
        <v>18531.261999999999</v>
      </c>
      <c r="E54">
        <v>867882.03099999996</v>
      </c>
      <c r="F54">
        <v>24666.431</v>
      </c>
      <c r="G54">
        <f>kar_lowdigits[[#This Row],[Native]]/1000000</f>
        <v>0</v>
      </c>
      <c r="H54">
        <f>kar_lowdigits[[#This Row],[Schoolbook]]/1000000</f>
        <v>1.8531262E-2</v>
      </c>
      <c r="I54">
        <f>kar_lowdigits[[#This Row],[Karatsuba]]/1000000</f>
        <v>0.86788203099999994</v>
      </c>
      <c r="J54">
        <f>kar_lowdigits[[#This Row],[Hybrid]]/1000000</f>
        <v>2.4666430999999999E-2</v>
      </c>
      <c r="K54">
        <f>kar_lowdigits[[#This Row],[Karatsuba]]/kar_lowdigits[[#This Row],[Schoolbook]]</f>
        <v>46.833401362519183</v>
      </c>
      <c r="L54">
        <f>kar_lowdigits[[#This Row],[Hybrid]]/kar_lowdigits[[#This Row],[Schoolbook]]</f>
        <v>1.3310712999470842</v>
      </c>
      <c r="M54" t="s">
        <v>8</v>
      </c>
    </row>
    <row r="55" spans="1:13" x14ac:dyDescent="0.35">
      <c r="A55">
        <v>54</v>
      </c>
      <c r="B55">
        <v>32</v>
      </c>
      <c r="D55">
        <v>18179.504000000001</v>
      </c>
      <c r="E55">
        <v>924614.84400000004</v>
      </c>
      <c r="F55">
        <v>25012.183000000001</v>
      </c>
      <c r="G55">
        <f>kar_lowdigits[[#This Row],[Native]]/1000000</f>
        <v>0</v>
      </c>
      <c r="H55">
        <f>kar_lowdigits[[#This Row],[Schoolbook]]/1000000</f>
        <v>1.8179503999999999E-2</v>
      </c>
      <c r="I55">
        <f>kar_lowdigits[[#This Row],[Karatsuba]]/1000000</f>
        <v>0.92461484400000005</v>
      </c>
      <c r="J55">
        <f>kar_lowdigits[[#This Row],[Hybrid]]/1000000</f>
        <v>2.5012183E-2</v>
      </c>
      <c r="K55">
        <f>kar_lowdigits[[#This Row],[Karatsuba]]/kar_lowdigits[[#This Row],[Schoolbook]]</f>
        <v>50.860289917700726</v>
      </c>
      <c r="L55">
        <f>kar_lowdigits[[#This Row],[Hybrid]]/kar_lowdigits[[#This Row],[Schoolbook]]</f>
        <v>1.3758451825748381</v>
      </c>
      <c r="M55" t="s">
        <v>8</v>
      </c>
    </row>
    <row r="56" spans="1:13" x14ac:dyDescent="0.35">
      <c r="A56">
        <v>55</v>
      </c>
      <c r="B56">
        <v>32</v>
      </c>
      <c r="D56">
        <v>20629.016</v>
      </c>
      <c r="E56">
        <v>971280.46900000004</v>
      </c>
      <c r="F56">
        <v>26466.772000000001</v>
      </c>
      <c r="G56">
        <f>kar_lowdigits[[#This Row],[Native]]/1000000</f>
        <v>0</v>
      </c>
      <c r="H56">
        <f>kar_lowdigits[[#This Row],[Schoolbook]]/1000000</f>
        <v>2.0629016E-2</v>
      </c>
      <c r="I56">
        <f>kar_lowdigits[[#This Row],[Karatsuba]]/1000000</f>
        <v>0.97128046900000009</v>
      </c>
      <c r="J56">
        <f>kar_lowdigits[[#This Row],[Hybrid]]/1000000</f>
        <v>2.6466772E-2</v>
      </c>
      <c r="K56">
        <f>kar_lowdigits[[#This Row],[Karatsuba]]/kar_lowdigits[[#This Row],[Schoolbook]]</f>
        <v>47.0832185597219</v>
      </c>
      <c r="L56">
        <f>kar_lowdigits[[#This Row],[Hybrid]]/kar_lowdigits[[#This Row],[Schoolbook]]</f>
        <v>1.2829876131755389</v>
      </c>
      <c r="M56" t="s">
        <v>8</v>
      </c>
    </row>
    <row r="57" spans="1:13" x14ac:dyDescent="0.35">
      <c r="A57">
        <v>56</v>
      </c>
      <c r="B57">
        <v>32</v>
      </c>
      <c r="D57">
        <v>20254.101999999999</v>
      </c>
      <c r="E57">
        <v>994259.375</v>
      </c>
      <c r="F57">
        <v>27238.012999999999</v>
      </c>
      <c r="G57">
        <f>kar_lowdigits[[#This Row],[Native]]/1000000</f>
        <v>0</v>
      </c>
      <c r="H57">
        <f>kar_lowdigits[[#This Row],[Schoolbook]]/1000000</f>
        <v>2.0254102E-2</v>
      </c>
      <c r="I57">
        <f>kar_lowdigits[[#This Row],[Karatsuba]]/1000000</f>
        <v>0.99425937499999995</v>
      </c>
      <c r="J57">
        <f>kar_lowdigits[[#This Row],[Hybrid]]/1000000</f>
        <v>2.7238012999999998E-2</v>
      </c>
      <c r="K57">
        <f>kar_lowdigits[[#This Row],[Karatsuba]]/kar_lowdigits[[#This Row],[Schoolbook]]</f>
        <v>49.089284481731163</v>
      </c>
      <c r="L57">
        <f>kar_lowdigits[[#This Row],[Hybrid]]/kar_lowdigits[[#This Row],[Schoolbook]]</f>
        <v>1.3448146454481171</v>
      </c>
      <c r="M57" t="s">
        <v>8</v>
      </c>
    </row>
    <row r="58" spans="1:13" x14ac:dyDescent="0.35">
      <c r="A58">
        <v>57</v>
      </c>
      <c r="B58">
        <v>32</v>
      </c>
      <c r="D58">
        <v>21510.522000000001</v>
      </c>
      <c r="E58">
        <v>992618.75</v>
      </c>
      <c r="F58">
        <v>27599.901999999998</v>
      </c>
      <c r="G58">
        <f>kar_lowdigits[[#This Row],[Native]]/1000000</f>
        <v>0</v>
      </c>
      <c r="H58">
        <f>kar_lowdigits[[#This Row],[Schoolbook]]/1000000</f>
        <v>2.1510522000000001E-2</v>
      </c>
      <c r="I58">
        <f>kar_lowdigits[[#This Row],[Karatsuba]]/1000000</f>
        <v>0.99261874999999999</v>
      </c>
      <c r="J58">
        <f>kar_lowdigits[[#This Row],[Hybrid]]/1000000</f>
        <v>2.7599901999999999E-2</v>
      </c>
      <c r="K58">
        <f>kar_lowdigits[[#This Row],[Karatsuba]]/kar_lowdigits[[#This Row],[Schoolbook]]</f>
        <v>46.145730447638599</v>
      </c>
      <c r="L58">
        <f>kar_lowdigits[[#This Row],[Hybrid]]/kar_lowdigits[[#This Row],[Schoolbook]]</f>
        <v>1.2830884345809923</v>
      </c>
      <c r="M58" t="s">
        <v>8</v>
      </c>
    </row>
    <row r="59" spans="1:13" x14ac:dyDescent="0.35">
      <c r="A59">
        <v>58</v>
      </c>
      <c r="B59">
        <v>32</v>
      </c>
      <c r="D59">
        <v>21659.607</v>
      </c>
      <c r="E59">
        <v>1053138.281</v>
      </c>
      <c r="F59">
        <v>28153.003000000001</v>
      </c>
      <c r="G59">
        <f>kar_lowdigits[[#This Row],[Native]]/1000000</f>
        <v>0</v>
      </c>
      <c r="H59">
        <f>kar_lowdigits[[#This Row],[Schoolbook]]/1000000</f>
        <v>2.1659607000000001E-2</v>
      </c>
      <c r="I59">
        <f>kar_lowdigits[[#This Row],[Karatsuba]]/1000000</f>
        <v>1.0531382810000001</v>
      </c>
      <c r="J59">
        <f>kar_lowdigits[[#This Row],[Hybrid]]/1000000</f>
        <v>2.8153002999999999E-2</v>
      </c>
      <c r="K59">
        <f>kar_lowdigits[[#This Row],[Karatsuba]]/kar_lowdigits[[#This Row],[Schoolbook]]</f>
        <v>48.622224816913807</v>
      </c>
      <c r="L59">
        <f>kar_lowdigits[[#This Row],[Hybrid]]/kar_lowdigits[[#This Row],[Schoolbook]]</f>
        <v>1.2997928817452691</v>
      </c>
      <c r="M59" t="s">
        <v>8</v>
      </c>
    </row>
    <row r="60" spans="1:13" x14ac:dyDescent="0.35">
      <c r="A60">
        <v>59</v>
      </c>
      <c r="B60">
        <v>32</v>
      </c>
      <c r="D60">
        <v>25340.186000000002</v>
      </c>
      <c r="E60">
        <v>1008144.531</v>
      </c>
      <c r="F60">
        <v>28827.686000000002</v>
      </c>
      <c r="G60">
        <f>kar_lowdigits[[#This Row],[Native]]/1000000</f>
        <v>0</v>
      </c>
      <c r="H60">
        <f>kar_lowdigits[[#This Row],[Schoolbook]]/1000000</f>
        <v>2.5340186000000001E-2</v>
      </c>
      <c r="I60">
        <f>kar_lowdigits[[#This Row],[Karatsuba]]/1000000</f>
        <v>1.0081445309999999</v>
      </c>
      <c r="J60">
        <f>kar_lowdigits[[#This Row],[Hybrid]]/1000000</f>
        <v>2.8827686000000002E-2</v>
      </c>
      <c r="K60">
        <f>kar_lowdigits[[#This Row],[Karatsuba]]/kar_lowdigits[[#This Row],[Schoolbook]]</f>
        <v>39.784417170418557</v>
      </c>
      <c r="L60">
        <f>kar_lowdigits[[#This Row],[Hybrid]]/kar_lowdigits[[#This Row],[Schoolbook]]</f>
        <v>1.1376272455142988</v>
      </c>
      <c r="M60" t="s">
        <v>8</v>
      </c>
    </row>
    <row r="61" spans="1:13" x14ac:dyDescent="0.35">
      <c r="A61">
        <v>60</v>
      </c>
      <c r="B61">
        <v>32</v>
      </c>
      <c r="D61">
        <v>22621.667000000001</v>
      </c>
      <c r="E61">
        <v>1082925.781</v>
      </c>
      <c r="F61">
        <v>29528.563999999998</v>
      </c>
      <c r="G61">
        <f>kar_lowdigits[[#This Row],[Native]]/1000000</f>
        <v>0</v>
      </c>
      <c r="H61">
        <f>kar_lowdigits[[#This Row],[Schoolbook]]/1000000</f>
        <v>2.2621667000000002E-2</v>
      </c>
      <c r="I61">
        <f>kar_lowdigits[[#This Row],[Karatsuba]]/1000000</f>
        <v>1.0829257809999999</v>
      </c>
      <c r="J61">
        <f>kar_lowdigits[[#This Row],[Hybrid]]/1000000</f>
        <v>2.9528564E-2</v>
      </c>
      <c r="K61">
        <f>kar_lowdigits[[#This Row],[Karatsuba]]/kar_lowdigits[[#This Row],[Schoolbook]]</f>
        <v>47.871175055313117</v>
      </c>
      <c r="L61">
        <f>kar_lowdigits[[#This Row],[Hybrid]]/kar_lowdigits[[#This Row],[Schoolbook]]</f>
        <v>1.3053221939833168</v>
      </c>
      <c r="M61" t="s">
        <v>8</v>
      </c>
    </row>
    <row r="62" spans="1:13" x14ac:dyDescent="0.35">
      <c r="A62">
        <v>61</v>
      </c>
      <c r="B62">
        <v>32</v>
      </c>
      <c r="D62">
        <v>23028.162</v>
      </c>
      <c r="E62">
        <v>1174936.719</v>
      </c>
      <c r="F62">
        <v>29583.495999999999</v>
      </c>
      <c r="G62">
        <f>kar_lowdigits[[#This Row],[Native]]/1000000</f>
        <v>0</v>
      </c>
      <c r="H62">
        <f>kar_lowdigits[[#This Row],[Schoolbook]]/1000000</f>
        <v>2.3028162000000001E-2</v>
      </c>
      <c r="I62">
        <f>kar_lowdigits[[#This Row],[Karatsuba]]/1000000</f>
        <v>1.174936719</v>
      </c>
      <c r="J62">
        <f>kar_lowdigits[[#This Row],[Hybrid]]/1000000</f>
        <v>2.9583496000000001E-2</v>
      </c>
      <c r="K62">
        <f>kar_lowdigits[[#This Row],[Karatsuba]]/kar_lowdigits[[#This Row],[Schoolbook]]</f>
        <v>51.021732390105647</v>
      </c>
      <c r="L62">
        <f>kar_lowdigits[[#This Row],[Hybrid]]/kar_lowdigits[[#This Row],[Schoolbook]]</f>
        <v>1.2846659668279214</v>
      </c>
      <c r="M62" t="s">
        <v>8</v>
      </c>
    </row>
    <row r="63" spans="1:13" x14ac:dyDescent="0.35">
      <c r="A63">
        <v>62</v>
      </c>
      <c r="B63">
        <v>32</v>
      </c>
      <c r="D63">
        <v>23811.804</v>
      </c>
      <c r="E63">
        <v>1177300</v>
      </c>
      <c r="F63">
        <v>30970.898000000001</v>
      </c>
      <c r="G63">
        <f>kar_lowdigits[[#This Row],[Native]]/1000000</f>
        <v>0</v>
      </c>
      <c r="H63">
        <f>kar_lowdigits[[#This Row],[Schoolbook]]/1000000</f>
        <v>2.3811803999999999E-2</v>
      </c>
      <c r="I63">
        <f>kar_lowdigits[[#This Row],[Karatsuba]]/1000000</f>
        <v>1.1773</v>
      </c>
      <c r="J63">
        <f>kar_lowdigits[[#This Row],[Hybrid]]/1000000</f>
        <v>3.0970898E-2</v>
      </c>
      <c r="K63">
        <f>kar_lowdigits[[#This Row],[Karatsuba]]/kar_lowdigits[[#This Row],[Schoolbook]]</f>
        <v>49.441865051467751</v>
      </c>
      <c r="L63">
        <f>kar_lowdigits[[#This Row],[Hybrid]]/kar_lowdigits[[#This Row],[Schoolbook]]</f>
        <v>1.3006531550486473</v>
      </c>
      <c r="M63" t="s">
        <v>8</v>
      </c>
    </row>
    <row r="64" spans="1:13" x14ac:dyDescent="0.35">
      <c r="A64">
        <v>63</v>
      </c>
      <c r="B64">
        <v>32</v>
      </c>
      <c r="D64">
        <v>24613.379000000001</v>
      </c>
      <c r="E64">
        <v>1208703.125</v>
      </c>
      <c r="F64">
        <v>32210.01</v>
      </c>
      <c r="G64">
        <f>kar_lowdigits[[#This Row],[Native]]/1000000</f>
        <v>0</v>
      </c>
      <c r="H64">
        <f>kar_lowdigits[[#This Row],[Schoolbook]]/1000000</f>
        <v>2.4613379000000001E-2</v>
      </c>
      <c r="I64">
        <f>kar_lowdigits[[#This Row],[Karatsuba]]/1000000</f>
        <v>1.208703125</v>
      </c>
      <c r="J64">
        <f>kar_lowdigits[[#This Row],[Hybrid]]/1000000</f>
        <v>3.2210009999999997E-2</v>
      </c>
      <c r="K64">
        <f>kar_lowdigits[[#This Row],[Karatsuba]]/kar_lowdigits[[#This Row],[Schoolbook]]</f>
        <v>49.107565645497111</v>
      </c>
      <c r="L64">
        <f>kar_lowdigits[[#This Row],[Hybrid]]/kar_lowdigits[[#This Row],[Schoolbook]]</f>
        <v>1.3086382816434914</v>
      </c>
      <c r="M64" t="s">
        <v>8</v>
      </c>
    </row>
    <row r="65" spans="1:13" x14ac:dyDescent="0.35">
      <c r="A65">
        <v>64</v>
      </c>
      <c r="B65">
        <v>32</v>
      </c>
      <c r="D65">
        <v>24932.056</v>
      </c>
      <c r="E65">
        <v>1193092.1880000001</v>
      </c>
      <c r="F65">
        <v>39276.904000000002</v>
      </c>
      <c r="G65">
        <f>kar_lowdigits[[#This Row],[Native]]/1000000</f>
        <v>0</v>
      </c>
      <c r="H65">
        <f>kar_lowdigits[[#This Row],[Schoolbook]]/1000000</f>
        <v>2.4932056000000001E-2</v>
      </c>
      <c r="I65">
        <f>kar_lowdigits[[#This Row],[Karatsuba]]/1000000</f>
        <v>1.1930921880000001</v>
      </c>
      <c r="J65">
        <f>kar_lowdigits[[#This Row],[Hybrid]]/1000000</f>
        <v>3.9276904000000001E-2</v>
      </c>
      <c r="K65">
        <f>kar_lowdigits[[#This Row],[Karatsuba]]/kar_lowdigits[[#This Row],[Schoolbook]]</f>
        <v>47.853742507236468</v>
      </c>
      <c r="L65">
        <f>kar_lowdigits[[#This Row],[Hybrid]]/kar_lowdigits[[#This Row],[Schoolbook]]</f>
        <v>1.5753576038815251</v>
      </c>
      <c r="M65" t="s">
        <v>8</v>
      </c>
    </row>
    <row r="66" spans="1:13" x14ac:dyDescent="0.35">
      <c r="A66">
        <v>65</v>
      </c>
      <c r="B66">
        <v>32</v>
      </c>
      <c r="D66">
        <v>26907.152999999998</v>
      </c>
      <c r="E66">
        <v>1374503.125</v>
      </c>
      <c r="F66">
        <v>47602.661</v>
      </c>
      <c r="G66">
        <f>kar_lowdigits[[#This Row],[Native]]/1000000</f>
        <v>0</v>
      </c>
      <c r="H66">
        <f>kar_lowdigits[[#This Row],[Schoolbook]]/1000000</f>
        <v>2.6907153E-2</v>
      </c>
      <c r="I66">
        <f>kar_lowdigits[[#This Row],[Karatsuba]]/1000000</f>
        <v>1.3745031249999999</v>
      </c>
      <c r="J66">
        <f>kar_lowdigits[[#This Row],[Hybrid]]/1000000</f>
        <v>4.7602660999999998E-2</v>
      </c>
      <c r="K66">
        <f>kar_lowdigits[[#This Row],[Karatsuba]]/kar_lowdigits[[#This Row],[Schoolbook]]</f>
        <v>51.083186875995395</v>
      </c>
      <c r="L66">
        <f>kar_lowdigits[[#This Row],[Hybrid]]/kar_lowdigits[[#This Row],[Schoolbook]]</f>
        <v>1.7691452157721779</v>
      </c>
      <c r="M66" t="s">
        <v>8</v>
      </c>
    </row>
    <row r="67" spans="1:13" x14ac:dyDescent="0.35">
      <c r="A67">
        <v>66</v>
      </c>
      <c r="B67">
        <v>32</v>
      </c>
      <c r="D67">
        <v>28955.028999999999</v>
      </c>
      <c r="E67">
        <v>1319204.6880000001</v>
      </c>
      <c r="F67">
        <v>53908.593999999997</v>
      </c>
      <c r="G67">
        <f>kar_lowdigits[[#This Row],[Native]]/1000000</f>
        <v>0</v>
      </c>
      <c r="H67">
        <f>kar_lowdigits[[#This Row],[Schoolbook]]/1000000</f>
        <v>2.8955029E-2</v>
      </c>
      <c r="I67">
        <f>kar_lowdigits[[#This Row],[Karatsuba]]/1000000</f>
        <v>1.3192046880000001</v>
      </c>
      <c r="J67">
        <f>kar_lowdigits[[#This Row],[Hybrid]]/1000000</f>
        <v>5.3908593999999997E-2</v>
      </c>
      <c r="K67">
        <f>kar_lowdigits[[#This Row],[Karatsuba]]/kar_lowdigits[[#This Row],[Schoolbook]]</f>
        <v>45.56046854589578</v>
      </c>
      <c r="L67">
        <f>kar_lowdigits[[#This Row],[Hybrid]]/kar_lowdigits[[#This Row],[Schoolbook]]</f>
        <v>1.8618041791634883</v>
      </c>
      <c r="M67" t="s">
        <v>8</v>
      </c>
    </row>
    <row r="68" spans="1:13" x14ac:dyDescent="0.35">
      <c r="A68">
        <v>67</v>
      </c>
      <c r="B68">
        <v>32</v>
      </c>
      <c r="D68">
        <v>27321.484</v>
      </c>
      <c r="E68">
        <v>1553855.469</v>
      </c>
      <c r="F68">
        <v>54348.095999999998</v>
      </c>
      <c r="G68">
        <f>kar_lowdigits[[#This Row],[Native]]/1000000</f>
        <v>0</v>
      </c>
      <c r="H68">
        <f>kar_lowdigits[[#This Row],[Schoolbook]]/1000000</f>
        <v>2.7321484E-2</v>
      </c>
      <c r="I68">
        <f>kar_lowdigits[[#This Row],[Karatsuba]]/1000000</f>
        <v>1.5538554689999999</v>
      </c>
      <c r="J68">
        <f>kar_lowdigits[[#This Row],[Hybrid]]/1000000</f>
        <v>5.4348095999999999E-2</v>
      </c>
      <c r="K68">
        <f>kar_lowdigits[[#This Row],[Karatsuba]]/kar_lowdigits[[#This Row],[Schoolbook]]</f>
        <v>56.873025967403528</v>
      </c>
      <c r="L68">
        <f>kar_lowdigits[[#This Row],[Hybrid]]/kar_lowdigits[[#This Row],[Schoolbook]]</f>
        <v>1.9892073212421404</v>
      </c>
      <c r="M68" t="s">
        <v>8</v>
      </c>
    </row>
    <row r="69" spans="1:13" x14ac:dyDescent="0.35">
      <c r="A69">
        <v>68</v>
      </c>
      <c r="B69">
        <v>32</v>
      </c>
      <c r="D69">
        <v>28634.57</v>
      </c>
      <c r="E69">
        <v>1421755.469</v>
      </c>
      <c r="F69">
        <v>55070.116999999998</v>
      </c>
      <c r="G69">
        <f>kar_lowdigits[[#This Row],[Native]]/1000000</f>
        <v>0</v>
      </c>
      <c r="H69">
        <f>kar_lowdigits[[#This Row],[Schoolbook]]/1000000</f>
        <v>2.8634569999999998E-2</v>
      </c>
      <c r="I69">
        <f>kar_lowdigits[[#This Row],[Karatsuba]]/1000000</f>
        <v>1.421755469</v>
      </c>
      <c r="J69">
        <f>kar_lowdigits[[#This Row],[Hybrid]]/1000000</f>
        <v>5.5070117000000002E-2</v>
      </c>
      <c r="K69">
        <f>kar_lowdigits[[#This Row],[Karatsuba]]/kar_lowdigits[[#This Row],[Schoolbook]]</f>
        <v>49.651713610506462</v>
      </c>
      <c r="L69">
        <f>kar_lowdigits[[#This Row],[Hybrid]]/kar_lowdigits[[#This Row],[Schoolbook]]</f>
        <v>1.9232039105179508</v>
      </c>
      <c r="M69" t="s">
        <v>8</v>
      </c>
    </row>
    <row r="70" spans="1:13" x14ac:dyDescent="0.35">
      <c r="A70">
        <v>69</v>
      </c>
      <c r="B70">
        <v>32</v>
      </c>
      <c r="D70">
        <v>30128.491000000002</v>
      </c>
      <c r="E70">
        <v>1472505.469</v>
      </c>
      <c r="F70">
        <v>55877.588000000003</v>
      </c>
      <c r="G70">
        <f>kar_lowdigits[[#This Row],[Native]]/1000000</f>
        <v>0</v>
      </c>
      <c r="H70">
        <f>kar_lowdigits[[#This Row],[Schoolbook]]/1000000</f>
        <v>3.0128491E-2</v>
      </c>
      <c r="I70">
        <f>kar_lowdigits[[#This Row],[Karatsuba]]/1000000</f>
        <v>1.4725054690000001</v>
      </c>
      <c r="J70">
        <f>kar_lowdigits[[#This Row],[Hybrid]]/1000000</f>
        <v>5.5877588000000006E-2</v>
      </c>
      <c r="K70">
        <f>kar_lowdigits[[#This Row],[Karatsuba]]/kar_lowdigits[[#This Row],[Schoolbook]]</f>
        <v>48.874185866129174</v>
      </c>
      <c r="L70">
        <f>kar_lowdigits[[#This Row],[Hybrid]]/kar_lowdigits[[#This Row],[Schoolbook]]</f>
        <v>1.8546427698619223</v>
      </c>
      <c r="M70" t="s">
        <v>8</v>
      </c>
    </row>
    <row r="71" spans="1:13" x14ac:dyDescent="0.35">
      <c r="A71">
        <v>70</v>
      </c>
      <c r="B71">
        <v>32</v>
      </c>
      <c r="D71">
        <v>30498.656999999999</v>
      </c>
      <c r="E71">
        <v>1544207.8119999999</v>
      </c>
      <c r="F71">
        <v>58116.699000000001</v>
      </c>
      <c r="G71">
        <f>kar_lowdigits[[#This Row],[Native]]/1000000</f>
        <v>0</v>
      </c>
      <c r="H71">
        <f>kar_lowdigits[[#This Row],[Schoolbook]]/1000000</f>
        <v>3.0498656999999998E-2</v>
      </c>
      <c r="I71">
        <f>kar_lowdigits[[#This Row],[Karatsuba]]/1000000</f>
        <v>1.544207812</v>
      </c>
      <c r="J71">
        <f>kar_lowdigits[[#This Row],[Hybrid]]/1000000</f>
        <v>5.8116699000000001E-2</v>
      </c>
      <c r="K71">
        <f>kar_lowdigits[[#This Row],[Karatsuba]]/kar_lowdigits[[#This Row],[Schoolbook]]</f>
        <v>50.631993795661231</v>
      </c>
      <c r="L71">
        <f>kar_lowdigits[[#This Row],[Hybrid]]/kar_lowdigits[[#This Row],[Schoolbook]]</f>
        <v>1.9055494476363337</v>
      </c>
      <c r="M71" t="s">
        <v>8</v>
      </c>
    </row>
    <row r="72" spans="1:13" x14ac:dyDescent="0.35">
      <c r="A72">
        <v>71</v>
      </c>
      <c r="B72">
        <v>32</v>
      </c>
      <c r="D72">
        <v>31775.293000000001</v>
      </c>
      <c r="E72">
        <v>1595273.4380000001</v>
      </c>
      <c r="F72">
        <v>57698.535000000003</v>
      </c>
      <c r="G72">
        <f>kar_lowdigits[[#This Row],[Native]]/1000000</f>
        <v>0</v>
      </c>
      <c r="H72">
        <f>kar_lowdigits[[#This Row],[Schoolbook]]/1000000</f>
        <v>3.1775293000000003E-2</v>
      </c>
      <c r="I72">
        <f>kar_lowdigits[[#This Row],[Karatsuba]]/1000000</f>
        <v>1.595273438</v>
      </c>
      <c r="J72">
        <f>kar_lowdigits[[#This Row],[Hybrid]]/1000000</f>
        <v>5.7698535000000002E-2</v>
      </c>
      <c r="K72">
        <f>kar_lowdigits[[#This Row],[Karatsuba]]/kar_lowdigits[[#This Row],[Schoolbook]]</f>
        <v>50.204838016757236</v>
      </c>
      <c r="L72">
        <f>kar_lowdigits[[#This Row],[Hybrid]]/kar_lowdigits[[#This Row],[Schoolbook]]</f>
        <v>1.8158301482853361</v>
      </c>
      <c r="M72" t="s">
        <v>8</v>
      </c>
    </row>
    <row r="73" spans="1:13" x14ac:dyDescent="0.35">
      <c r="A73">
        <v>72</v>
      </c>
      <c r="B73">
        <v>32</v>
      </c>
      <c r="D73">
        <v>31506.128000000001</v>
      </c>
      <c r="E73">
        <v>1589201.5619999999</v>
      </c>
      <c r="F73">
        <v>59294.434000000001</v>
      </c>
      <c r="G73">
        <f>kar_lowdigits[[#This Row],[Native]]/1000000</f>
        <v>0</v>
      </c>
      <c r="H73">
        <f>kar_lowdigits[[#This Row],[Schoolbook]]/1000000</f>
        <v>3.1506128000000001E-2</v>
      </c>
      <c r="I73">
        <f>kar_lowdigits[[#This Row],[Karatsuba]]/1000000</f>
        <v>1.589201562</v>
      </c>
      <c r="J73">
        <f>kar_lowdigits[[#This Row],[Hybrid]]/1000000</f>
        <v>5.9294434E-2</v>
      </c>
      <c r="K73">
        <f>kar_lowdigits[[#This Row],[Karatsuba]]/kar_lowdigits[[#This Row],[Schoolbook]]</f>
        <v>50.441030456043343</v>
      </c>
      <c r="L73">
        <f>kar_lowdigits[[#This Row],[Hybrid]]/kar_lowdigits[[#This Row],[Schoolbook]]</f>
        <v>1.8819968610550939</v>
      </c>
      <c r="M73" t="s">
        <v>8</v>
      </c>
    </row>
    <row r="74" spans="1:13" x14ac:dyDescent="0.35">
      <c r="A74">
        <v>73</v>
      </c>
      <c r="B74">
        <v>32</v>
      </c>
      <c r="D74">
        <v>37705.688000000002</v>
      </c>
      <c r="E74">
        <v>1643793.75</v>
      </c>
      <c r="F74">
        <v>62070.85</v>
      </c>
      <c r="G74">
        <f>kar_lowdigits[[#This Row],[Native]]/1000000</f>
        <v>0</v>
      </c>
      <c r="H74">
        <f>kar_lowdigits[[#This Row],[Schoolbook]]/1000000</f>
        <v>3.7705688000000001E-2</v>
      </c>
      <c r="I74">
        <f>kar_lowdigits[[#This Row],[Karatsuba]]/1000000</f>
        <v>1.6437937499999999</v>
      </c>
      <c r="J74">
        <f>kar_lowdigits[[#This Row],[Hybrid]]/1000000</f>
        <v>6.2070849999999997E-2</v>
      </c>
      <c r="K74">
        <f>kar_lowdigits[[#This Row],[Karatsuba]]/kar_lowdigits[[#This Row],[Schoolbook]]</f>
        <v>43.595378766195701</v>
      </c>
      <c r="L74">
        <f>kar_lowdigits[[#This Row],[Hybrid]]/kar_lowdigits[[#This Row],[Schoolbook]]</f>
        <v>1.6461932746062078</v>
      </c>
      <c r="M74" t="s">
        <v>8</v>
      </c>
    </row>
    <row r="75" spans="1:13" x14ac:dyDescent="0.35">
      <c r="A75">
        <v>74</v>
      </c>
      <c r="B75">
        <v>32</v>
      </c>
      <c r="D75">
        <v>32891.625999999997</v>
      </c>
      <c r="E75">
        <v>1684059.375</v>
      </c>
      <c r="F75">
        <v>60546.533000000003</v>
      </c>
      <c r="G75">
        <f>kar_lowdigits[[#This Row],[Native]]/1000000</f>
        <v>0</v>
      </c>
      <c r="H75">
        <f>kar_lowdigits[[#This Row],[Schoolbook]]/1000000</f>
        <v>3.2891625999999993E-2</v>
      </c>
      <c r="I75">
        <f>kar_lowdigits[[#This Row],[Karatsuba]]/1000000</f>
        <v>1.6840593749999999</v>
      </c>
      <c r="J75">
        <f>kar_lowdigits[[#This Row],[Hybrid]]/1000000</f>
        <v>6.0546533000000007E-2</v>
      </c>
      <c r="K75">
        <f>kar_lowdigits[[#This Row],[Karatsuba]]/kar_lowdigits[[#This Row],[Schoolbook]]</f>
        <v>51.200246986877453</v>
      </c>
      <c r="L75">
        <f>kar_lowdigits[[#This Row],[Hybrid]]/kar_lowdigits[[#This Row],[Schoolbook]]</f>
        <v>1.8407886858497056</v>
      </c>
      <c r="M75" t="s">
        <v>8</v>
      </c>
    </row>
    <row r="76" spans="1:13" x14ac:dyDescent="0.35">
      <c r="A76">
        <v>75</v>
      </c>
      <c r="B76">
        <v>32</v>
      </c>
      <c r="D76">
        <v>33753.466999999997</v>
      </c>
      <c r="E76">
        <v>1719421.875</v>
      </c>
      <c r="F76">
        <v>61525.536999999997</v>
      </c>
      <c r="G76">
        <f>kar_lowdigits[[#This Row],[Native]]/1000000</f>
        <v>0</v>
      </c>
      <c r="H76">
        <f>kar_lowdigits[[#This Row],[Schoolbook]]/1000000</f>
        <v>3.3753466999999995E-2</v>
      </c>
      <c r="I76">
        <f>kar_lowdigits[[#This Row],[Karatsuba]]/1000000</f>
        <v>1.7194218750000001</v>
      </c>
      <c r="J76">
        <f>kar_lowdigits[[#This Row],[Hybrid]]/1000000</f>
        <v>6.1525536999999998E-2</v>
      </c>
      <c r="K76">
        <f>kar_lowdigits[[#This Row],[Karatsuba]]/kar_lowdigits[[#This Row],[Schoolbook]]</f>
        <v>50.940600412988694</v>
      </c>
      <c r="L76">
        <f>kar_lowdigits[[#This Row],[Hybrid]]/kar_lowdigits[[#This Row],[Schoolbook]]</f>
        <v>1.8227916261165114</v>
      </c>
      <c r="M76" t="s">
        <v>8</v>
      </c>
    </row>
    <row r="77" spans="1:13" x14ac:dyDescent="0.35">
      <c r="A77">
        <v>76</v>
      </c>
      <c r="B77">
        <v>32</v>
      </c>
      <c r="D77">
        <v>34485.815000000002</v>
      </c>
      <c r="E77">
        <v>1729317.1880000001</v>
      </c>
      <c r="F77">
        <v>61630.713000000003</v>
      </c>
      <c r="G77">
        <f>kar_lowdigits[[#This Row],[Native]]/1000000</f>
        <v>0</v>
      </c>
      <c r="H77">
        <f>kar_lowdigits[[#This Row],[Schoolbook]]/1000000</f>
        <v>3.4485815000000003E-2</v>
      </c>
      <c r="I77">
        <f>kar_lowdigits[[#This Row],[Karatsuba]]/1000000</f>
        <v>1.729317188</v>
      </c>
      <c r="J77">
        <f>kar_lowdigits[[#This Row],[Hybrid]]/1000000</f>
        <v>6.1630713000000004E-2</v>
      </c>
      <c r="K77">
        <f>kar_lowdigits[[#This Row],[Karatsuba]]/kar_lowdigits[[#This Row],[Schoolbook]]</f>
        <v>50.145753783113435</v>
      </c>
      <c r="L77">
        <f>kar_lowdigits[[#This Row],[Hybrid]]/kar_lowdigits[[#This Row],[Schoolbook]]</f>
        <v>1.7871322745308469</v>
      </c>
      <c r="M77" t="s">
        <v>8</v>
      </c>
    </row>
    <row r="78" spans="1:13" x14ac:dyDescent="0.35">
      <c r="A78">
        <v>77</v>
      </c>
      <c r="B78">
        <v>32</v>
      </c>
      <c r="D78">
        <v>36137.451000000001</v>
      </c>
      <c r="E78">
        <v>1777850</v>
      </c>
      <c r="F78">
        <v>65319.336000000003</v>
      </c>
      <c r="G78">
        <f>kar_lowdigits[[#This Row],[Native]]/1000000</f>
        <v>0</v>
      </c>
      <c r="H78">
        <f>kar_lowdigits[[#This Row],[Schoolbook]]/1000000</f>
        <v>3.6137451000000001E-2</v>
      </c>
      <c r="I78">
        <f>kar_lowdigits[[#This Row],[Karatsuba]]/1000000</f>
        <v>1.7778499999999999</v>
      </c>
      <c r="J78">
        <f>kar_lowdigits[[#This Row],[Hybrid]]/1000000</f>
        <v>6.5319336000000006E-2</v>
      </c>
      <c r="K78">
        <f>kar_lowdigits[[#This Row],[Karatsuba]]/kar_lowdigits[[#This Row],[Schoolbook]]</f>
        <v>49.19688441777479</v>
      </c>
      <c r="L78">
        <f>kar_lowdigits[[#This Row],[Hybrid]]/kar_lowdigits[[#This Row],[Schoolbook]]</f>
        <v>1.8075247199920106</v>
      </c>
      <c r="M78" t="s">
        <v>8</v>
      </c>
    </row>
    <row r="79" spans="1:13" x14ac:dyDescent="0.35">
      <c r="A79">
        <v>78</v>
      </c>
      <c r="B79">
        <v>32</v>
      </c>
      <c r="D79">
        <v>36180.103000000003</v>
      </c>
      <c r="E79">
        <v>1893726.5619999999</v>
      </c>
      <c r="F79">
        <v>64503.32</v>
      </c>
      <c r="G79">
        <f>kar_lowdigits[[#This Row],[Native]]/1000000</f>
        <v>0</v>
      </c>
      <c r="H79">
        <f>kar_lowdigits[[#This Row],[Schoolbook]]/1000000</f>
        <v>3.6180103000000005E-2</v>
      </c>
      <c r="I79">
        <f>kar_lowdigits[[#This Row],[Karatsuba]]/1000000</f>
        <v>1.8937265619999999</v>
      </c>
      <c r="J79">
        <f>kar_lowdigits[[#This Row],[Hybrid]]/1000000</f>
        <v>6.4503320000000003E-2</v>
      </c>
      <c r="K79">
        <f>kar_lowdigits[[#This Row],[Karatsuba]]/kar_lowdigits[[#This Row],[Schoolbook]]</f>
        <v>52.341657567973201</v>
      </c>
      <c r="L79">
        <f>kar_lowdigits[[#This Row],[Hybrid]]/kar_lowdigits[[#This Row],[Schoolbook]]</f>
        <v>1.7828395900365457</v>
      </c>
      <c r="M79" t="s">
        <v>8</v>
      </c>
    </row>
    <row r="80" spans="1:13" x14ac:dyDescent="0.35">
      <c r="A80">
        <v>79</v>
      </c>
      <c r="B80">
        <v>32</v>
      </c>
      <c r="D80">
        <v>37234.398999999998</v>
      </c>
      <c r="E80">
        <v>1819164.0619999999</v>
      </c>
      <c r="F80">
        <v>63541.601999999999</v>
      </c>
      <c r="G80">
        <f>kar_lowdigits[[#This Row],[Native]]/1000000</f>
        <v>0</v>
      </c>
      <c r="H80">
        <f>kar_lowdigits[[#This Row],[Schoolbook]]/1000000</f>
        <v>3.7234398999999994E-2</v>
      </c>
      <c r="I80">
        <f>kar_lowdigits[[#This Row],[Karatsuba]]/1000000</f>
        <v>1.819164062</v>
      </c>
      <c r="J80">
        <f>kar_lowdigits[[#This Row],[Hybrid]]/1000000</f>
        <v>6.3541602000000003E-2</v>
      </c>
      <c r="K80">
        <f>kar_lowdigits[[#This Row],[Karatsuba]]/kar_lowdigits[[#This Row],[Schoolbook]]</f>
        <v>48.857081377894673</v>
      </c>
      <c r="L80">
        <f>kar_lowdigits[[#This Row],[Hybrid]]/kar_lowdigits[[#This Row],[Schoolbook]]</f>
        <v>1.7065295454345859</v>
      </c>
      <c r="M80" t="s">
        <v>8</v>
      </c>
    </row>
    <row r="81" spans="1:13" x14ac:dyDescent="0.35">
      <c r="A81">
        <v>80</v>
      </c>
      <c r="B81">
        <v>32</v>
      </c>
      <c r="D81">
        <v>38016.478999999999</v>
      </c>
      <c r="E81">
        <v>1827584.375</v>
      </c>
      <c r="F81">
        <v>65690.039000000004</v>
      </c>
      <c r="G81">
        <f>kar_lowdigits[[#This Row],[Native]]/1000000</f>
        <v>0</v>
      </c>
      <c r="H81">
        <f>kar_lowdigits[[#This Row],[Schoolbook]]/1000000</f>
        <v>3.8016478999999999E-2</v>
      </c>
      <c r="I81">
        <f>kar_lowdigits[[#This Row],[Karatsuba]]/1000000</f>
        <v>1.827584375</v>
      </c>
      <c r="J81">
        <f>kar_lowdigits[[#This Row],[Hybrid]]/1000000</f>
        <v>6.5690039000000006E-2</v>
      </c>
      <c r="K81">
        <f>kar_lowdigits[[#This Row],[Karatsuba]]/kar_lowdigits[[#This Row],[Schoolbook]]</f>
        <v>48.073478214539541</v>
      </c>
      <c r="L81">
        <f>kar_lowdigits[[#This Row],[Hybrid]]/kar_lowdigits[[#This Row],[Schoolbook]]</f>
        <v>1.7279359037958251</v>
      </c>
      <c r="M81" t="s">
        <v>8</v>
      </c>
    </row>
    <row r="82" spans="1:13" x14ac:dyDescent="0.35">
      <c r="A82">
        <v>81</v>
      </c>
      <c r="B82">
        <v>32</v>
      </c>
      <c r="D82">
        <v>38882.860999999997</v>
      </c>
      <c r="E82">
        <v>1928037.5</v>
      </c>
      <c r="F82">
        <v>65454.101999999999</v>
      </c>
      <c r="G82">
        <f>kar_lowdigits[[#This Row],[Native]]/1000000</f>
        <v>0</v>
      </c>
      <c r="H82">
        <f>kar_lowdigits[[#This Row],[Schoolbook]]/1000000</f>
        <v>3.8882860999999998E-2</v>
      </c>
      <c r="I82">
        <f>kar_lowdigits[[#This Row],[Karatsuba]]/1000000</f>
        <v>1.9280375000000001</v>
      </c>
      <c r="J82">
        <f>kar_lowdigits[[#This Row],[Hybrid]]/1000000</f>
        <v>6.5454102E-2</v>
      </c>
      <c r="K82">
        <f>kar_lowdigits[[#This Row],[Karatsuba]]/kar_lowdigits[[#This Row],[Schoolbook]]</f>
        <v>49.585793082458622</v>
      </c>
      <c r="L82">
        <f>kar_lowdigits[[#This Row],[Hybrid]]/kar_lowdigits[[#This Row],[Schoolbook]]</f>
        <v>1.6833664066026419</v>
      </c>
      <c r="M82" t="s">
        <v>8</v>
      </c>
    </row>
    <row r="83" spans="1:13" x14ac:dyDescent="0.35">
      <c r="A83">
        <v>82</v>
      </c>
      <c r="B83">
        <v>32</v>
      </c>
      <c r="D83">
        <v>39865.161</v>
      </c>
      <c r="E83">
        <v>1982301.5619999999</v>
      </c>
      <c r="F83">
        <v>67092.773000000001</v>
      </c>
      <c r="G83">
        <f>kar_lowdigits[[#This Row],[Native]]/1000000</f>
        <v>0</v>
      </c>
      <c r="H83">
        <f>kar_lowdigits[[#This Row],[Schoolbook]]/1000000</f>
        <v>3.9865161000000003E-2</v>
      </c>
      <c r="I83">
        <f>kar_lowdigits[[#This Row],[Karatsuba]]/1000000</f>
        <v>1.982301562</v>
      </c>
      <c r="J83">
        <f>kar_lowdigits[[#This Row],[Hybrid]]/1000000</f>
        <v>6.7092772999999994E-2</v>
      </c>
      <c r="K83">
        <f>kar_lowdigits[[#This Row],[Karatsuba]]/kar_lowdigits[[#This Row],[Schoolbook]]</f>
        <v>49.725161325699901</v>
      </c>
      <c r="L83">
        <f>kar_lowdigits[[#This Row],[Hybrid]]/kar_lowdigits[[#This Row],[Schoolbook]]</f>
        <v>1.682992651152218</v>
      </c>
      <c r="M83" t="s">
        <v>8</v>
      </c>
    </row>
    <row r="84" spans="1:13" x14ac:dyDescent="0.35">
      <c r="A84">
        <v>83</v>
      </c>
      <c r="B84">
        <v>32</v>
      </c>
      <c r="D84">
        <v>41552.807999999997</v>
      </c>
      <c r="E84">
        <v>1947820.3119999999</v>
      </c>
      <c r="F84">
        <v>69796.093999999997</v>
      </c>
      <c r="G84">
        <f>kar_lowdigits[[#This Row],[Native]]/1000000</f>
        <v>0</v>
      </c>
      <c r="H84">
        <f>kar_lowdigits[[#This Row],[Schoolbook]]/1000000</f>
        <v>4.1552807999999997E-2</v>
      </c>
      <c r="I84">
        <f>kar_lowdigits[[#This Row],[Karatsuba]]/1000000</f>
        <v>1.9478203119999999</v>
      </c>
      <c r="J84">
        <f>kar_lowdigits[[#This Row],[Hybrid]]/1000000</f>
        <v>6.9796094000000003E-2</v>
      </c>
      <c r="K84">
        <f>kar_lowdigits[[#This Row],[Karatsuba]]/kar_lowdigits[[#This Row],[Schoolbook]]</f>
        <v>46.875780621131547</v>
      </c>
      <c r="L84">
        <f>kar_lowdigits[[#This Row],[Hybrid]]/kar_lowdigits[[#This Row],[Schoolbook]]</f>
        <v>1.6796962072936203</v>
      </c>
      <c r="M84" t="s">
        <v>8</v>
      </c>
    </row>
    <row r="85" spans="1:13" x14ac:dyDescent="0.35">
      <c r="A85">
        <v>84</v>
      </c>
      <c r="B85">
        <v>32</v>
      </c>
      <c r="D85">
        <v>43966.137999999999</v>
      </c>
      <c r="E85">
        <v>1988290.625</v>
      </c>
      <c r="F85">
        <v>67925.293000000005</v>
      </c>
      <c r="G85">
        <f>kar_lowdigits[[#This Row],[Native]]/1000000</f>
        <v>0</v>
      </c>
      <c r="H85">
        <f>kar_lowdigits[[#This Row],[Schoolbook]]/1000000</f>
        <v>4.3966138000000002E-2</v>
      </c>
      <c r="I85">
        <f>kar_lowdigits[[#This Row],[Karatsuba]]/1000000</f>
        <v>1.9882906250000001</v>
      </c>
      <c r="J85">
        <f>kar_lowdigits[[#This Row],[Hybrid]]/1000000</f>
        <v>6.7925293000000012E-2</v>
      </c>
      <c r="K85">
        <f>kar_lowdigits[[#This Row],[Karatsuba]]/kar_lowdigits[[#This Row],[Schoolbook]]</f>
        <v>45.223226679586915</v>
      </c>
      <c r="L85">
        <f>kar_lowdigits[[#This Row],[Hybrid]]/kar_lowdigits[[#This Row],[Schoolbook]]</f>
        <v>1.5449456352068041</v>
      </c>
      <c r="M85" t="s">
        <v>8</v>
      </c>
    </row>
    <row r="86" spans="1:13" x14ac:dyDescent="0.35">
      <c r="A86">
        <v>85</v>
      </c>
      <c r="B86">
        <v>32</v>
      </c>
      <c r="D86">
        <v>44196.288999999997</v>
      </c>
      <c r="E86">
        <v>2005296.875</v>
      </c>
      <c r="F86">
        <v>70841.406000000003</v>
      </c>
      <c r="G86">
        <f>kar_lowdigits[[#This Row],[Native]]/1000000</f>
        <v>0</v>
      </c>
      <c r="H86">
        <f>kar_lowdigits[[#This Row],[Schoolbook]]/1000000</f>
        <v>4.4196289E-2</v>
      </c>
      <c r="I86">
        <f>kar_lowdigits[[#This Row],[Karatsuba]]/1000000</f>
        <v>2.005296875</v>
      </c>
      <c r="J86">
        <f>kar_lowdigits[[#This Row],[Hybrid]]/1000000</f>
        <v>7.084140600000001E-2</v>
      </c>
      <c r="K86">
        <f>kar_lowdigits[[#This Row],[Karatsuba]]/kar_lowdigits[[#This Row],[Schoolbook]]</f>
        <v>45.372517022865885</v>
      </c>
      <c r="L86">
        <f>kar_lowdigits[[#This Row],[Hybrid]]/kar_lowdigits[[#This Row],[Schoolbook]]</f>
        <v>1.6028813188365205</v>
      </c>
      <c r="M86" t="s">
        <v>8</v>
      </c>
    </row>
    <row r="87" spans="1:13" x14ac:dyDescent="0.35">
      <c r="A87">
        <v>86</v>
      </c>
      <c r="B87">
        <v>32</v>
      </c>
      <c r="D87">
        <v>44424.828999999998</v>
      </c>
      <c r="E87">
        <v>2100175</v>
      </c>
      <c r="F87">
        <v>69690.770999999993</v>
      </c>
      <c r="G87">
        <f>kar_lowdigits[[#This Row],[Native]]/1000000</f>
        <v>0</v>
      </c>
      <c r="H87">
        <f>kar_lowdigits[[#This Row],[Schoolbook]]/1000000</f>
        <v>4.4424828999999999E-2</v>
      </c>
      <c r="I87">
        <f>kar_lowdigits[[#This Row],[Karatsuba]]/1000000</f>
        <v>2.1001750000000001</v>
      </c>
      <c r="J87">
        <f>kar_lowdigits[[#This Row],[Hybrid]]/1000000</f>
        <v>6.9690770999999999E-2</v>
      </c>
      <c r="K87">
        <f>kar_lowdigits[[#This Row],[Karatsuba]]/kar_lowdigits[[#This Row],[Schoolbook]]</f>
        <v>47.274802115726771</v>
      </c>
      <c r="L87">
        <f>kar_lowdigits[[#This Row],[Hybrid]]/kar_lowdigits[[#This Row],[Schoolbook]]</f>
        <v>1.5687347046400562</v>
      </c>
      <c r="M87" t="s">
        <v>8</v>
      </c>
    </row>
    <row r="88" spans="1:13" x14ac:dyDescent="0.35">
      <c r="A88">
        <v>87</v>
      </c>
      <c r="B88">
        <v>32</v>
      </c>
      <c r="D88">
        <v>44669.188999999998</v>
      </c>
      <c r="E88">
        <v>2121779.6880000001</v>
      </c>
      <c r="F88">
        <v>75587.548999999999</v>
      </c>
      <c r="G88">
        <f>kar_lowdigits[[#This Row],[Native]]/1000000</f>
        <v>0</v>
      </c>
      <c r="H88">
        <f>kar_lowdigits[[#This Row],[Schoolbook]]/1000000</f>
        <v>4.4669188999999998E-2</v>
      </c>
      <c r="I88">
        <f>kar_lowdigits[[#This Row],[Karatsuba]]/1000000</f>
        <v>2.1217796880000002</v>
      </c>
      <c r="J88">
        <f>kar_lowdigits[[#This Row],[Hybrid]]/1000000</f>
        <v>7.5587549000000004E-2</v>
      </c>
      <c r="K88">
        <f>kar_lowdigits[[#This Row],[Karatsuba]]/kar_lowdigits[[#This Row],[Schoolbook]]</f>
        <v>47.499848004851849</v>
      </c>
      <c r="L88">
        <f>kar_lowdigits[[#This Row],[Hybrid]]/kar_lowdigits[[#This Row],[Schoolbook]]</f>
        <v>1.6921630030041512</v>
      </c>
      <c r="M88" t="s">
        <v>8</v>
      </c>
    </row>
    <row r="89" spans="1:13" x14ac:dyDescent="0.35">
      <c r="A89">
        <v>88</v>
      </c>
      <c r="B89">
        <v>32</v>
      </c>
      <c r="D89">
        <v>45556.273999999998</v>
      </c>
      <c r="E89">
        <v>2149589.0619999999</v>
      </c>
      <c r="F89">
        <v>72659.179999999993</v>
      </c>
      <c r="G89">
        <f>kar_lowdigits[[#This Row],[Native]]/1000000</f>
        <v>0</v>
      </c>
      <c r="H89">
        <f>kar_lowdigits[[#This Row],[Schoolbook]]/1000000</f>
        <v>4.5556274000000001E-2</v>
      </c>
      <c r="I89">
        <f>kar_lowdigits[[#This Row],[Karatsuba]]/1000000</f>
        <v>2.149589062</v>
      </c>
      <c r="J89">
        <f>kar_lowdigits[[#This Row],[Hybrid]]/1000000</f>
        <v>7.265917999999999E-2</v>
      </c>
      <c r="K89">
        <f>kar_lowdigits[[#This Row],[Karatsuba]]/kar_lowdigits[[#This Row],[Schoolbook]]</f>
        <v>47.185357213366487</v>
      </c>
      <c r="L89">
        <f>kar_lowdigits[[#This Row],[Hybrid]]/kar_lowdigits[[#This Row],[Schoolbook]]</f>
        <v>1.5949324565042347</v>
      </c>
      <c r="M89" t="s">
        <v>8</v>
      </c>
    </row>
    <row r="90" spans="1:13" x14ac:dyDescent="0.35">
      <c r="A90">
        <v>89</v>
      </c>
      <c r="B90">
        <v>32</v>
      </c>
      <c r="D90">
        <v>50881.152000000002</v>
      </c>
      <c r="E90">
        <v>2526342.1880000001</v>
      </c>
      <c r="F90">
        <v>74873.975000000006</v>
      </c>
      <c r="G90">
        <f>kar_lowdigits[[#This Row],[Native]]/1000000</f>
        <v>0</v>
      </c>
      <c r="H90">
        <f>kar_lowdigits[[#This Row],[Schoolbook]]/1000000</f>
        <v>5.0881151999999999E-2</v>
      </c>
      <c r="I90">
        <f>kar_lowdigits[[#This Row],[Karatsuba]]/1000000</f>
        <v>2.5263421880000001</v>
      </c>
      <c r="J90">
        <f>kar_lowdigits[[#This Row],[Hybrid]]/1000000</f>
        <v>7.4873975000000009E-2</v>
      </c>
      <c r="K90">
        <f>kar_lowdigits[[#This Row],[Karatsuba]]/kar_lowdigits[[#This Row],[Schoolbook]]</f>
        <v>49.651827615852724</v>
      </c>
      <c r="L90">
        <f>kar_lowdigits[[#This Row],[Hybrid]]/kar_lowdigits[[#This Row],[Schoolbook]]</f>
        <v>1.4715463792958148</v>
      </c>
      <c r="M90" t="s">
        <v>8</v>
      </c>
    </row>
    <row r="91" spans="1:13" x14ac:dyDescent="0.35">
      <c r="A91">
        <v>90</v>
      </c>
      <c r="B91">
        <v>32</v>
      </c>
      <c r="D91">
        <v>47614.014000000003</v>
      </c>
      <c r="E91">
        <v>2118107.8119999999</v>
      </c>
      <c r="F91">
        <v>77789.697</v>
      </c>
      <c r="G91">
        <f>kar_lowdigits[[#This Row],[Native]]/1000000</f>
        <v>0</v>
      </c>
      <c r="H91">
        <f>kar_lowdigits[[#This Row],[Schoolbook]]/1000000</f>
        <v>4.7614014000000003E-2</v>
      </c>
      <c r="I91">
        <f>kar_lowdigits[[#This Row],[Karatsuba]]/1000000</f>
        <v>2.1181078119999999</v>
      </c>
      <c r="J91">
        <f>kar_lowdigits[[#This Row],[Hybrid]]/1000000</f>
        <v>7.7789697000000005E-2</v>
      </c>
      <c r="K91">
        <f>kar_lowdigits[[#This Row],[Karatsuba]]/kar_lowdigits[[#This Row],[Schoolbook]]</f>
        <v>44.484966379856147</v>
      </c>
      <c r="L91">
        <f>kar_lowdigits[[#This Row],[Hybrid]]/kar_lowdigits[[#This Row],[Schoolbook]]</f>
        <v>1.6337563348471313</v>
      </c>
      <c r="M91" t="s">
        <v>8</v>
      </c>
    </row>
    <row r="92" spans="1:13" x14ac:dyDescent="0.35">
      <c r="A92">
        <v>91</v>
      </c>
      <c r="B92">
        <v>32</v>
      </c>
      <c r="D92">
        <v>50165.137000000002</v>
      </c>
      <c r="E92">
        <v>2166884.375</v>
      </c>
      <c r="F92">
        <v>75458.495999999999</v>
      </c>
      <c r="G92">
        <f>kar_lowdigits[[#This Row],[Native]]/1000000</f>
        <v>0</v>
      </c>
      <c r="H92">
        <f>kar_lowdigits[[#This Row],[Schoolbook]]/1000000</f>
        <v>5.0165137000000005E-2</v>
      </c>
      <c r="I92">
        <f>kar_lowdigits[[#This Row],[Karatsuba]]/1000000</f>
        <v>2.166884375</v>
      </c>
      <c r="J92">
        <f>kar_lowdigits[[#This Row],[Hybrid]]/1000000</f>
        <v>7.5458496E-2</v>
      </c>
      <c r="K92">
        <f>kar_lowdigits[[#This Row],[Karatsuba]]/kar_lowdigits[[#This Row],[Schoolbook]]</f>
        <v>43.195025561277745</v>
      </c>
      <c r="L92">
        <f>kar_lowdigits[[#This Row],[Hybrid]]/kar_lowdigits[[#This Row],[Schoolbook]]</f>
        <v>1.5042019321107405</v>
      </c>
      <c r="M92" t="s">
        <v>8</v>
      </c>
    </row>
    <row r="93" spans="1:13" x14ac:dyDescent="0.35">
      <c r="A93">
        <v>92</v>
      </c>
      <c r="B93">
        <v>32</v>
      </c>
      <c r="D93">
        <v>49533.447</v>
      </c>
      <c r="E93">
        <v>2274801.5619999999</v>
      </c>
      <c r="F93">
        <v>75491.210999999996</v>
      </c>
      <c r="G93">
        <f>kar_lowdigits[[#This Row],[Native]]/1000000</f>
        <v>0</v>
      </c>
      <c r="H93">
        <f>kar_lowdigits[[#This Row],[Schoolbook]]/1000000</f>
        <v>4.9533447000000001E-2</v>
      </c>
      <c r="I93">
        <f>kar_lowdigits[[#This Row],[Karatsuba]]/1000000</f>
        <v>2.2748015619999999</v>
      </c>
      <c r="J93">
        <f>kar_lowdigits[[#This Row],[Hybrid]]/1000000</f>
        <v>7.5491211000000003E-2</v>
      </c>
      <c r="K93">
        <f>kar_lowdigits[[#This Row],[Karatsuba]]/kar_lowdigits[[#This Row],[Schoolbook]]</f>
        <v>45.924556027768467</v>
      </c>
      <c r="L93">
        <f>kar_lowdigits[[#This Row],[Hybrid]]/kar_lowdigits[[#This Row],[Schoolbook]]</f>
        <v>1.5240451769891967</v>
      </c>
      <c r="M93" t="s">
        <v>8</v>
      </c>
    </row>
    <row r="94" spans="1:13" x14ac:dyDescent="0.35">
      <c r="A94">
        <v>93</v>
      </c>
      <c r="B94">
        <v>32</v>
      </c>
      <c r="D94">
        <v>51921.387000000002</v>
      </c>
      <c r="E94">
        <v>2229829.6880000001</v>
      </c>
      <c r="F94">
        <v>77881.835999999996</v>
      </c>
      <c r="G94">
        <f>kar_lowdigits[[#This Row],[Native]]/1000000</f>
        <v>0</v>
      </c>
      <c r="H94">
        <f>kar_lowdigits[[#This Row],[Schoolbook]]/1000000</f>
        <v>5.1921386999999999E-2</v>
      </c>
      <c r="I94">
        <f>kar_lowdigits[[#This Row],[Karatsuba]]/1000000</f>
        <v>2.2298296880000001</v>
      </c>
      <c r="J94">
        <f>kar_lowdigits[[#This Row],[Hybrid]]/1000000</f>
        <v>7.7881835999999996E-2</v>
      </c>
      <c r="K94">
        <f>kar_lowdigits[[#This Row],[Karatsuba]]/kar_lowdigits[[#This Row],[Schoolbook]]</f>
        <v>42.946265822983506</v>
      </c>
      <c r="L94">
        <f>kar_lowdigits[[#This Row],[Hybrid]]/kar_lowdigits[[#This Row],[Schoolbook]]</f>
        <v>1.4999952909578473</v>
      </c>
      <c r="M94" t="s">
        <v>8</v>
      </c>
    </row>
    <row r="95" spans="1:13" x14ac:dyDescent="0.35">
      <c r="A95">
        <v>94</v>
      </c>
      <c r="B95">
        <v>32</v>
      </c>
      <c r="D95">
        <v>52247.851999999999</v>
      </c>
      <c r="E95">
        <v>2307229.6880000001</v>
      </c>
      <c r="F95">
        <v>80181.933999999994</v>
      </c>
      <c r="G95">
        <f>kar_lowdigits[[#This Row],[Native]]/1000000</f>
        <v>0</v>
      </c>
      <c r="H95">
        <f>kar_lowdigits[[#This Row],[Schoolbook]]/1000000</f>
        <v>5.2247851999999997E-2</v>
      </c>
      <c r="I95">
        <f>kar_lowdigits[[#This Row],[Karatsuba]]/1000000</f>
        <v>2.3072296880000001</v>
      </c>
      <c r="J95">
        <f>kar_lowdigits[[#This Row],[Hybrid]]/1000000</f>
        <v>8.0181933999999996E-2</v>
      </c>
      <c r="K95">
        <f>kar_lowdigits[[#This Row],[Karatsuba]]/kar_lowdigits[[#This Row],[Schoolbook]]</f>
        <v>44.159321382245537</v>
      </c>
      <c r="L95">
        <f>kar_lowdigits[[#This Row],[Hybrid]]/kar_lowdigits[[#This Row],[Schoolbook]]</f>
        <v>1.5346455582518492</v>
      </c>
      <c r="M95" t="s">
        <v>8</v>
      </c>
    </row>
    <row r="96" spans="1:13" x14ac:dyDescent="0.35">
      <c r="A96">
        <v>95</v>
      </c>
      <c r="B96">
        <v>32</v>
      </c>
      <c r="D96">
        <v>53494.286999999997</v>
      </c>
      <c r="E96">
        <v>2270317.1880000001</v>
      </c>
      <c r="F96">
        <v>80328.222999999998</v>
      </c>
      <c r="G96">
        <f>kar_lowdigits[[#This Row],[Native]]/1000000</f>
        <v>0</v>
      </c>
      <c r="H96">
        <f>kar_lowdigits[[#This Row],[Schoolbook]]/1000000</f>
        <v>5.3494286999999995E-2</v>
      </c>
      <c r="I96">
        <f>kar_lowdigits[[#This Row],[Karatsuba]]/1000000</f>
        <v>2.2703171879999999</v>
      </c>
      <c r="J96">
        <f>kar_lowdigits[[#This Row],[Hybrid]]/1000000</f>
        <v>8.0328223000000004E-2</v>
      </c>
      <c r="K96">
        <f>kar_lowdigits[[#This Row],[Karatsuba]]/kar_lowdigits[[#This Row],[Schoolbook]]</f>
        <v>42.440367286323493</v>
      </c>
      <c r="L96">
        <f>kar_lowdigits[[#This Row],[Hybrid]]/kar_lowdigits[[#This Row],[Schoolbook]]</f>
        <v>1.5016224629744108</v>
      </c>
      <c r="M96" t="s">
        <v>8</v>
      </c>
    </row>
    <row r="97" spans="1:13" x14ac:dyDescent="0.35">
      <c r="A97">
        <v>96</v>
      </c>
      <c r="B97">
        <v>32</v>
      </c>
      <c r="D97">
        <v>53694.531000000003</v>
      </c>
      <c r="E97">
        <v>2366918.75</v>
      </c>
      <c r="F97">
        <v>79416.016000000003</v>
      </c>
      <c r="G97">
        <f>kar_lowdigits[[#This Row],[Native]]/1000000</f>
        <v>0</v>
      </c>
      <c r="H97">
        <f>kar_lowdigits[[#This Row],[Schoolbook]]/1000000</f>
        <v>5.3694531000000004E-2</v>
      </c>
      <c r="I97">
        <f>kar_lowdigits[[#This Row],[Karatsuba]]/1000000</f>
        <v>2.36691875</v>
      </c>
      <c r="J97">
        <f>kar_lowdigits[[#This Row],[Hybrid]]/1000000</f>
        <v>7.9416016000000006E-2</v>
      </c>
      <c r="K97">
        <f>kar_lowdigits[[#This Row],[Karatsuba]]/kar_lowdigits[[#This Row],[Schoolbook]]</f>
        <v>44.081188640980955</v>
      </c>
      <c r="L97">
        <f>kar_lowdigits[[#This Row],[Hybrid]]/kar_lowdigits[[#This Row],[Schoolbook]]</f>
        <v>1.4790336095867938</v>
      </c>
      <c r="M97" t="s">
        <v>8</v>
      </c>
    </row>
    <row r="98" spans="1:13" x14ac:dyDescent="0.35">
      <c r="A98">
        <v>97</v>
      </c>
      <c r="B98">
        <v>32</v>
      </c>
      <c r="D98">
        <v>54904.053</v>
      </c>
      <c r="E98">
        <v>2446964.0619999999</v>
      </c>
      <c r="F98">
        <v>82318.994000000006</v>
      </c>
      <c r="G98">
        <f>kar_lowdigits[[#This Row],[Native]]/1000000</f>
        <v>0</v>
      </c>
      <c r="H98">
        <f>kar_lowdigits[[#This Row],[Schoolbook]]/1000000</f>
        <v>5.4904053000000001E-2</v>
      </c>
      <c r="I98">
        <f>kar_lowdigits[[#This Row],[Karatsuba]]/1000000</f>
        <v>2.4469640619999997</v>
      </c>
      <c r="J98">
        <f>kar_lowdigits[[#This Row],[Hybrid]]/1000000</f>
        <v>8.2318994000000006E-2</v>
      </c>
      <c r="K98">
        <f>kar_lowdigits[[#This Row],[Karatsuba]]/kar_lowdigits[[#This Row],[Schoolbook]]</f>
        <v>44.568004150804676</v>
      </c>
      <c r="L98">
        <f>kar_lowdigits[[#This Row],[Hybrid]]/kar_lowdigits[[#This Row],[Schoolbook]]</f>
        <v>1.4993245398477233</v>
      </c>
      <c r="M98" t="s">
        <v>8</v>
      </c>
    </row>
    <row r="99" spans="1:13" x14ac:dyDescent="0.35">
      <c r="A99">
        <v>98</v>
      </c>
      <c r="B99">
        <v>32</v>
      </c>
      <c r="D99">
        <v>59554.883000000002</v>
      </c>
      <c r="E99">
        <v>2467829.6880000001</v>
      </c>
      <c r="F99">
        <v>81655.468999999997</v>
      </c>
      <c r="G99">
        <f>kar_lowdigits[[#This Row],[Native]]/1000000</f>
        <v>0</v>
      </c>
      <c r="H99">
        <f>kar_lowdigits[[#This Row],[Schoolbook]]/1000000</f>
        <v>5.9554883000000003E-2</v>
      </c>
      <c r="I99">
        <f>kar_lowdigits[[#This Row],[Karatsuba]]/1000000</f>
        <v>2.4678296880000001</v>
      </c>
      <c r="J99">
        <f>kar_lowdigits[[#This Row],[Hybrid]]/1000000</f>
        <v>8.1655468999999994E-2</v>
      </c>
      <c r="K99">
        <f>kar_lowdigits[[#This Row],[Karatsuba]]/kar_lowdigits[[#This Row],[Schoolbook]]</f>
        <v>41.437906745614796</v>
      </c>
      <c r="L99">
        <f>kar_lowdigits[[#This Row],[Hybrid]]/kar_lowdigits[[#This Row],[Schoolbook]]</f>
        <v>1.3710961198597267</v>
      </c>
      <c r="M99" t="s">
        <v>8</v>
      </c>
    </row>
    <row r="100" spans="1:13" x14ac:dyDescent="0.35">
      <c r="A100">
        <v>99</v>
      </c>
      <c r="B100">
        <v>32</v>
      </c>
      <c r="D100">
        <v>58338.232000000004</v>
      </c>
      <c r="E100">
        <v>2553053.125</v>
      </c>
      <c r="F100">
        <v>82814.209000000003</v>
      </c>
      <c r="G100">
        <f>kar_lowdigits[[#This Row],[Native]]/1000000</f>
        <v>0</v>
      </c>
      <c r="H100">
        <f>kar_lowdigits[[#This Row],[Schoolbook]]/1000000</f>
        <v>5.8338232000000004E-2</v>
      </c>
      <c r="I100">
        <f>kar_lowdigits[[#This Row],[Karatsuba]]/1000000</f>
        <v>2.5530531249999999</v>
      </c>
      <c r="J100">
        <f>kar_lowdigits[[#This Row],[Hybrid]]/1000000</f>
        <v>8.2814209E-2</v>
      </c>
      <c r="K100">
        <f>kar_lowdigits[[#This Row],[Karatsuba]]/kar_lowdigits[[#This Row],[Schoolbook]]</f>
        <v>43.762949912503345</v>
      </c>
      <c r="L100">
        <f>kar_lowdigits[[#This Row],[Hybrid]]/kar_lowdigits[[#This Row],[Schoolbook]]</f>
        <v>1.4195529442853188</v>
      </c>
      <c r="M100" t="s">
        <v>8</v>
      </c>
    </row>
    <row r="101" spans="1:13" x14ac:dyDescent="0.35">
      <c r="A101">
        <v>100</v>
      </c>
      <c r="B101">
        <v>32</v>
      </c>
      <c r="D101">
        <v>58132.031000000003</v>
      </c>
      <c r="E101">
        <v>2712004.6880000001</v>
      </c>
      <c r="F101">
        <v>83190.380999999994</v>
      </c>
      <c r="G101">
        <f>kar_lowdigits[[#This Row],[Native]]/1000000</f>
        <v>0</v>
      </c>
      <c r="H101">
        <f>kar_lowdigits[[#This Row],[Schoolbook]]/1000000</f>
        <v>5.8132031000000001E-2</v>
      </c>
      <c r="I101">
        <f>kar_lowdigits[[#This Row],[Karatsuba]]/1000000</f>
        <v>2.7120046879999999</v>
      </c>
      <c r="J101">
        <f>kar_lowdigits[[#This Row],[Hybrid]]/1000000</f>
        <v>8.3190380999999994E-2</v>
      </c>
      <c r="K101">
        <f>kar_lowdigits[[#This Row],[Karatsuba]]/kar_lowdigits[[#This Row],[Schoolbook]]</f>
        <v>46.652501922735162</v>
      </c>
      <c r="L101">
        <f>kar_lowdigits[[#This Row],[Hybrid]]/kar_lowdigits[[#This Row],[Schoolbook]]</f>
        <v>1.4310592554387096</v>
      </c>
      <c r="M101" t="s">
        <v>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E09D-A639-4442-8A90-156426AB7C5A}">
  <dimension ref="A1:G2"/>
  <sheetViews>
    <sheetView workbookViewId="0">
      <selection activeCell="A2" sqref="A2:F2"/>
    </sheetView>
  </sheetViews>
  <sheetFormatPr defaultRowHeight="14.5" x14ac:dyDescent="0.35"/>
  <cols>
    <col min="1" max="1" width="7.90625" bestFit="1" customWidth="1"/>
    <col min="2" max="2" width="14.7265625" bestFit="1" customWidth="1"/>
    <col min="3" max="3" width="11.26953125" bestFit="1" customWidth="1"/>
    <col min="4" max="4" width="15.81640625" bestFit="1" customWidth="1"/>
    <col min="5" max="5" width="19.08984375" bestFit="1" customWidth="1"/>
    <col min="6" max="6" width="20.90625" bestFit="1" customWidth="1"/>
    <col min="7" max="7" width="8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1000</v>
      </c>
      <c r="B2">
        <v>190</v>
      </c>
      <c r="C2" s="1" t="s">
        <v>7</v>
      </c>
      <c r="D2">
        <v>5516062.5</v>
      </c>
      <c r="E2">
        <v>92952550</v>
      </c>
      <c r="F2">
        <v>3033068.75</v>
      </c>
      <c r="G2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28E4-E5A0-4ED5-9C94-6461CAC132E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644ABE-F0FE-4D5D-BC15-D56DC860FE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Charts</vt:lpstr>
      <vt:lpstr>karatsube_range_100-5000</vt:lpstr>
      <vt:lpstr>karatsuba_exponential</vt:lpstr>
      <vt:lpstr>cutofftesting</vt:lpstr>
      <vt:lpstr>kar_lowdigits</vt:lpstr>
      <vt:lpstr>kar190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Rock</dc:creator>
  <cp:lastModifiedBy>Ethan Rock</cp:lastModifiedBy>
  <dcterms:created xsi:type="dcterms:W3CDTF">2026-09-30T06:06:09Z</dcterms:created>
  <dcterms:modified xsi:type="dcterms:W3CDTF">2026-09-30T12:39:05Z</dcterms:modified>
</cp:coreProperties>
</file>